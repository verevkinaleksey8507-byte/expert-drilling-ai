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IWCF Kill Sheet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<sst xmlns="http://schemas.openxmlformats.org/spreadsheetml/2006/main" count="869" uniqueCount="148">
  <si>
    <t xml:space="preserve">КАРТА ГЛУШЕНИЯ ВЕРТИКАЛЬНОЙ СКВАЖИНЫ</t>
  </si>
  <si>
    <t xml:space="preserve">Наземная сборка ПВО • метод ожидания и утяжеления • метрические единицы (бар, л, кг/л)</t>
  </si>
  <si>
    <t xml:space="preserve">ЭТАП 2 — макет формы. Расчётные формулы и автоматические проверки пока не реализованы.</t>
  </si>
  <si>
    <t xml:space="preserve">Скважина</t>
  </si>
  <si>
    <t xml:space="preserve">Месторождение / куст</t>
  </si>
  <si>
    <t xml:space="preserve">Дата</t>
  </si>
  <si>
    <t xml:space="preserve">Составил</t>
  </si>
  <si>
    <t xml:space="preserve">Должность</t>
  </si>
  <si>
    <t xml:space="preserve">1. ИСХОДНЫЕ ДАННЫЕ ПО СКВАЖИНЕ</t>
  </si>
  <si>
    <t xml:space="preserve">Параметр</t>
  </si>
  <si>
    <t xml:space="preserve">Значение</t>
  </si>
  <si>
    <t xml:space="preserve">Ед.</t>
  </si>
  <si>
    <t xml:space="preserve">Глубина башмака обсадной колонны по стволу (MD)</t>
  </si>
  <si>
    <t xml:space="preserve">м</t>
  </si>
  <si>
    <t xml:space="preserve">Забой по стволу (MD)</t>
  </si>
  <si>
    <t xml:space="preserve">Вертикальная глубина башмака (TVD)</t>
  </si>
  <si>
    <t xml:space="preserve">Вертикальная глубина забоя (TVD)</t>
  </si>
  <si>
    <t xml:space="preserve">Плотность раствора при испытании</t>
  </si>
  <si>
    <t xml:space="preserve">кг/л</t>
  </si>
  <si>
    <t xml:space="preserve">Глубина долота по стволу (MD)</t>
  </si>
  <si>
    <t xml:space="preserve">Давление испытания на устье</t>
  </si>
  <si>
    <t xml:space="preserve">бар</t>
  </si>
  <si>
    <t xml:space="preserve">Вертикальная глубина долота (TVD)</t>
  </si>
  <si>
    <t xml:space="preserve">Максимально допустимое давление на устье</t>
  </si>
  <si>
    <t xml:space="preserve">Диаметр долота / открытого ствола</t>
  </si>
  <si>
    <t xml:space="preserve">мм</t>
  </si>
  <si>
    <t xml:space="preserve">Эквивалентная плотность у башмака</t>
  </si>
  <si>
    <t xml:space="preserve">Текущая плотность бурового раствора</t>
  </si>
  <si>
    <t xml:space="preserve">Запас до давления гидроразрыва</t>
  </si>
  <si>
    <t xml:space="preserve">Расчётная плотность раствора глушения</t>
  </si>
  <si>
    <t xml:space="preserve">Плановая плотность раствора глушения</t>
  </si>
  <si>
    <t xml:space="preserve">Источник / номер испытания</t>
  </si>
  <si>
    <t xml:space="preserve">—</t>
  </si>
  <si>
    <t xml:space="preserve">Температура / дополнительные условия</t>
  </si>
  <si>
    <t xml:space="preserve">2. НАСОСЫ, НАЗЕМНЫЕ ЛИНИИ И РЕЖИМ ЦИРКУЛЯЦИИ</t>
  </si>
  <si>
    <t xml:space="preserve">Рабочий насос / номер насоса</t>
  </si>
  <si>
    <t xml:space="preserve">Объём манифольда и наземных линий</t>
  </si>
  <si>
    <t xml:space="preserve">л</t>
  </si>
  <si>
    <t xml:space="preserve">Производительность насоса</t>
  </si>
  <si>
    <t xml:space="preserve">л/ход</t>
  </si>
  <si>
    <t xml:space="preserve">Объём линии дросселирования</t>
  </si>
  <si>
    <t xml:space="preserve">Малая подача насоса</t>
  </si>
  <si>
    <t xml:space="preserve">ход/мин</t>
  </si>
  <si>
    <t xml:space="preserve">Объём линии глушения</t>
  </si>
  <si>
    <t xml:space="preserve">Потери давления при малой подаче</t>
  </si>
  <si>
    <t xml:space="preserve">Допустимое давление обсадной колонны</t>
  </si>
  <si>
    <t xml:space="preserve">Рабочая подача при глушении</t>
  </si>
  <si>
    <t xml:space="preserve">Максимальное давление на стояке</t>
  </si>
  <si>
    <t xml:space="preserve">Предельное давление насоса</t>
  </si>
  <si>
    <t xml:space="preserve">Плановая скорость утяжеления</t>
  </si>
  <si>
    <t xml:space="preserve">кг/л·ч</t>
  </si>
  <si>
    <t xml:space="preserve">Объём нагнетательной линии</t>
  </si>
  <si>
    <t xml:space="preserve">Резервный насос / режим</t>
  </si>
  <si>
    <t xml:space="preserve">3. ВМЕСТИМОСТИ И ОБЪЁМЫ БУРИЛЬНОЙ КОЛОННЫ / КОЛЬЦЕВОГО ПРОСТРАНСТВА</t>
  </si>
  <si>
    <t xml:space="preserve">Участок</t>
  </si>
  <si>
    <t xml:space="preserve">От MD,
м</t>
  </si>
  <si>
    <t xml:space="preserve">До MD,
м</t>
  </si>
  <si>
    <t xml:space="preserve">Длина,
м</t>
  </si>
  <si>
    <t xml:space="preserve">D наруж./границы, мм</t>
  </si>
  <si>
    <t xml:space="preserve">Наружный
диаметр, мм</t>
  </si>
  <si>
    <t xml:space="preserve">D внутр./труб, мм</t>
  </si>
  <si>
    <t xml:space="preserve">Внутренний
диаметр, мм</t>
  </si>
  <si>
    <t xml:space="preserve">Уд. объём, л/м</t>
  </si>
  <si>
    <t xml:space="preserve">Уд. объём,
л/м</t>
  </si>
  <si>
    <t xml:space="preserve">Объём,
л</t>
  </si>
  <si>
    <t xml:space="preserve">Ходы
насоса</t>
  </si>
  <si>
    <t xml:space="preserve">Бурильные трубы</t>
  </si>
  <si>
    <t xml:space="preserve">Тяжёлые бурильные трубы</t>
  </si>
  <si>
    <t xml:space="preserve">УБТ / КНБК</t>
  </si>
  <si>
    <t xml:space="preserve">Внутренний объём прочих элементов</t>
  </si>
  <si>
    <t xml:space="preserve">Открытый ствол × КНБК</t>
  </si>
  <si>
    <t xml:space="preserve">Открытый ствол × бурильные трубы</t>
  </si>
  <si>
    <t xml:space="preserve">Обсадная колонна × бурильные трубы</t>
  </si>
  <si>
    <t xml:space="preserve">Прочий кольцевой интервал</t>
  </si>
  <si>
    <t xml:space="preserve">ИТОГО</t>
  </si>
  <si>
    <t xml:space="preserve">4. СВОДНЫЕ ОБЪЁМЫ ЦИРКУЛЯЦИИ</t>
  </si>
  <si>
    <t xml:space="preserve">Объём внутри бурильной колонны</t>
  </si>
  <si>
    <t xml:space="preserve">Ходы до долота</t>
  </si>
  <si>
    <t xml:space="preserve">ход</t>
  </si>
  <si>
    <t xml:space="preserve">Кольцевой объём ниже башмака</t>
  </si>
  <si>
    <t xml:space="preserve">Ходы до башмака</t>
  </si>
  <si>
    <t xml:space="preserve">Кольцевой объём выше башмака</t>
  </si>
  <si>
    <t xml:space="preserve">Ходы до устья</t>
  </si>
  <si>
    <t xml:space="preserve">Объём наземных линий</t>
  </si>
  <si>
    <t xml:space="preserve">Полный цикл циркуляции</t>
  </si>
  <si>
    <t xml:space="preserve">Активный объём системы</t>
  </si>
  <si>
    <t xml:space="preserve">Время полного цикла</t>
  </si>
  <si>
    <t xml:space="preserve">мин</t>
  </si>
  <si>
    <t xml:space="preserve">Общий объём циркуляции</t>
  </si>
  <si>
    <t xml:space="preserve">Объём утяжеления</t>
  </si>
  <si>
    <t xml:space="preserve">Источники формул: IWCF EX-0054 (0,0981). Официальные материалы: https://www.iwcf.org/for-learners/learning-resources/  Формулы: https://www.iwcf.org/wp-content/uploads/2025/11/EX-0054-Drilling-Russian-BL-0.0981-Formula-Sheet_New.pdf</t>
  </si>
  <si>
    <t xml:space="preserve">Условные обозначения: жёлтые поля — исходные данные; серые поля — будущие расчётные результаты. До реализации этапа 3 значения должны проверяться независимым расчётом.</t>
  </si>
  <si>
    <t xml:space="preserve">Expert Drilling AI • Карта глушения • этап 3 • страница 1 из 2</t>
  </si>
  <si>
    <t xml:space="preserve">Expert Drilling AI • Карта глушения • страница 1 из 2</t>
  </si>
  <si>
    <t xml:space="preserve">Рабочий макет — не заменяет утверждённую форму организации</t>
  </si>
  <si>
    <t xml:space="preserve">Данные проявления • автоматические контрольные значения • график давления • оперативный план</t>
  </si>
  <si>
    <t xml:space="preserve">Данные проявления • контрольные значения • график давления • оперативный план</t>
  </si>
  <si>
    <t xml:space="preserve">ЭТАП 2 — макет формы. Все серые расчётные поля не содержат формул.</t>
  </si>
  <si>
    <t xml:space="preserve">5. ДАННЫЕ ПРОЯВЛЕНИЯ ПОСЛЕ ЗАКРЫТИЯ СКВАЖИНЫ</t>
  </si>
  <si>
    <t xml:space="preserve">Давление в бурильных трубах после закрытия (SIDPP)</t>
  </si>
  <si>
    <t xml:space="preserve">Давление в обсадной колонне после закрытия (SICP)</t>
  </si>
  <si>
    <t xml:space="preserve">Прирост объёма в ёмкостях</t>
  </si>
  <si>
    <t xml:space="preserve">Предполагаемый тип флюида</t>
  </si>
  <si>
    <t xml:space="preserve">Время стабилизации давления</t>
  </si>
  <si>
    <t xml:space="preserve">Оценочный объём притока</t>
  </si>
  <si>
    <t xml:space="preserve">Плотность раствора в скважине</t>
  </si>
  <si>
    <t xml:space="preserve">Примечание по закрытию</t>
  </si>
  <si>
    <t xml:space="preserve">6. КОНТРОЛЬНЫЕ РАСЧЁТНЫЕ ЗНАЧЕНИЯ</t>
  </si>
  <si>
    <t xml:space="preserve">Плотность раствора глушения</t>
  </si>
  <si>
    <t xml:space="preserve">Максимально допустимое давление в затрубе</t>
  </si>
  <si>
    <t xml:space="preserve">Начальное циркуляционное давление</t>
  </si>
  <si>
    <t xml:space="preserve">Расчётное давление у башмака</t>
  </si>
  <si>
    <t xml:space="preserve">Конечное циркуляционное давление</t>
  </si>
  <si>
    <t xml:space="preserve">Требуемый прирост плотности</t>
  </si>
  <si>
    <t xml:space="preserve">Требуемая масса утяжелителя</t>
  </si>
  <si>
    <t xml:space="preserve">Расчётное пластовое давление</t>
  </si>
  <si>
    <t xml:space="preserve">Объём раствора для утяжеления</t>
  </si>
  <si>
    <t xml:space="preserve">Итоговый активный объём раствора</t>
  </si>
  <si>
    <t xml:space="preserve">7. ГРАФИК СНИЖЕНИЯ ДАВЛЕНИЯ В БУРИЛЬНЫХ ТРУБАХ</t>
  </si>
  <si>
    <t xml:space="preserve">Точка</t>
  </si>
  <si>
    <t xml:space="preserve">Давление в БТ,
бар</t>
  </si>
  <si>
    <t xml:space="preserve">Давление в затрубе,
бар</t>
  </si>
  <si>
    <t xml:space="preserve">Прокачанный объём,
л</t>
  </si>
  <si>
    <t xml:space="preserve">Примечание</t>
  </si>
  <si>
    <t xml:space="preserve">0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</si>
  <si>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</si>
  <si>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</si>
  <si>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</si>
  <si>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</si>
  <si>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</si>
  <si>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</si>
  <si>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</si>
  <si>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</si>
  <si>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</si>
  <si>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</si>
  <si>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8. ОПЕРАТИВНЫЙ ПЛАН И КОНТРОЛЬ ВЫПОЛНЕНИЯ</t>
  </si>
  <si>
    <t xml:space="preserve">Шаг</t>
  </si>
  <si>
    <t xml:space="preserve">Действие / команда</t>
  </si>
  <si>
    <t xml:space="preserve">Контролируемый параметр</t>
  </si>
  <si>
    <t xml:space="preserve">Ответственный</t>
  </si>
  <si>
    <t xml:space="preserve">Отметка / время</t>
  </si>
  <si>
    <t xml:space="preserve">9. ПРОВЕРКА И СОГЛАСОВАНИЕ</t>
  </si>
  <si>
    <t xml:space="preserve">Проверил</t>
  </si>
  <si>
    <t xml:space="preserve">Дата / время</t>
  </si>
  <si>
    <t xml:space="preserve">Расчётные зависимости: IWCF EX-0054 Russian BL 0.0981. Форма-источник: IWCF EX-0183. https://www.iwcf.org/for-learners/learning-resources/</t>
  </si>
  <si>
    <t xml:space="preserve">Источник структуры: IWCF EX-0183 «Карта глушения вертикальной скважины с наземной сборкой ПВО», BL 0,0981. https://www.iwcf.org/for-learners/learning-resources/</t>
  </si>
  <si>
    <t xml:space="preserve">Expert Drilling AI • Карта глушения • этап 3 • страница 2 из 2</t>
  </si>
  <si>
    <t xml:space="preserve">Expert Drilling AI • Карта глушения • страница 2 из 2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</si>
</sst>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_(* #,##0.00_);_(* \(#,##0.00\);_(* \-??_);_(@_)"/>
    <numFmt numFmtId="166" formatCode="_(* #,##0_);_(* \(#,##0\);_(* \-_);_(@_)"/>
    <numFmt numFmtId="167" formatCode="_(\$* #,##0.00_);_(\$* \(#,##0.00\);_(\$* \-??_);_(@_)"/>
    <numFmt numFmtId="168" formatCode="_(\$* #,##0_);_(\$* \(#,##0\);_(\$* \-_);_(@_)"/>
    <numFmt numFmtId="169" formatCode="0%"/>
    <numFmt numFmtId="170" formatCode="0.00"/>
    <numFmt numFmtId="171" formatCode="0.000"/>
  </numFmts>
  <fonts count="1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  <charset val="1"/>
    </font>
    <font>
      <sz val="11"/>
      <name val="Calibri"/>
      <family val="0"/>
      <charset val="1"/>
    </font>
    <font>
      <b val="true"/>
      <sz val="17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9"/>
      <color rgb="FF1F4E78"/>
      <name val="Arial"/>
      <family val="0"/>
      <charset val="1"/>
    </font>
    <font>
      <b val="true"/>
      <sz val="9"/>
      <color rgb="FF1F2933"/>
      <name val="Arial"/>
      <family val="0"/>
      <charset val="1"/>
    </font>
    <font>
      <sz val="9"/>
      <color rgb="FF1F2933"/>
      <name val="Arial"/>
      <family val="0"/>
      <charset val="1"/>
    </font>
    <font>
      <sz val="8"/>
      <color rgb="FF1F2933"/>
      <name val="Arial"/>
      <family val="0"/>
      <charset val="1"/>
    </font>
    <font>
      <b val="true"/>
      <sz val="8"/>
      <color rgb="FF1F2933"/>
      <name val="Arial"/>
      <family val="0"/>
      <charset val="1"/>
    </font>
    <font>
      <i val="true"/>
      <sz val="8"/>
      <color rgb="FF1F2933"/>
      <name val="Arial"/>
      <family val="0"/>
      <charset val="1"/>
    </font>
    <font>
      <sz val="8"/>
      <color rgb="FF6B7785"/>
      <name val="Arial"/>
      <family val="0"/>
      <charset val="1"/>
    </font>
  </fonts>
  <fills count="10">
    <fill>
      <patternFill patternType="none"/>
    </fill>
    <fill>
      <patternFill patternType="gray125"/>
    </fill>
    <fill>
      <patternFill patternType="solid">
        <fgColor rgb="FF19324A"/>
        <bgColor rgb="FF1F2933"/>
      </patternFill>
    </fill>
    <fill>
      <patternFill patternType="solid">
        <fgColor rgb="FF2F75B5"/>
        <bgColor rgb="FF0066CC"/>
      </patternFill>
    </fill>
    <fill>
      <patternFill patternType="solid">
        <fgColor rgb="FFD9EAF7"/>
        <bgColor rgb="FFDCE6F1"/>
      </patternFill>
    </fill>
    <fill>
      <patternFill patternType="solid">
        <fgColor rgb="FFDCE6F1"/>
        <bgColor rgb="FFD9EAF7"/>
      </patternFill>
    </fill>
    <fill>
      <patternFill patternType="solid">
        <fgColor rgb="FFFFF2CC"/>
        <bgColor rgb="FFFCE4D6"/>
      </patternFill>
    </fill>
    <fill>
      <patternFill patternType="solid">
        <fgColor rgb="FFFFFFFF"/>
        <bgColor rgb="FFF3F6F8"/>
      </patternFill>
    </fill>
    <fill>
      <patternFill patternType="solid">
        <fgColor rgb="FFE7E6E6"/>
        <bgColor rgb="FFDCE6F1"/>
      </patternFill>
    </fill>
    <fill>
      <patternFill patternType="solid">
        <fgColor rgb="FFF3F6F8"/>
        <bgColor rgb="FFFFFFFF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medium">
        <color rgb="FF19324A"/>
      </left>
      <right style="medium">
        <color rgb="FF19324A"/>
      </right>
      <top style="medium">
        <color rgb="FF19324A"/>
      </top>
      <bottom style="medium">
        <color rgb="FF19324A"/>
      </bottom>
      <diagonal/>
    </border>
    <border diagonalUp="false" diagonalDown="false">
      <left style="thin">
        <color rgb="FFC65911"/>
      </left>
      <right style="thin">
        <color rgb="FFC65911"/>
      </right>
      <top style="thin">
        <color rgb="FFC65911"/>
      </top>
      <bottom style="thin">
        <color rgb="FFC65911"/>
      </bottom>
      <diagonal/>
    </border>
    <border diagonalUp="false" diagonalDown="false">
      <left style="thin">
        <color rgb="FF6B7785"/>
      </left>
      <right style="thin">
        <color rgb="FF6B7785"/>
      </right>
      <top style="thin">
        <color rgb="FF6B7785"/>
      </top>
      <bottom style="thin">
        <color rgb="FF6B7785"/>
      </bottom>
      <diagonal/>
    </border>
    <border diagonalUp="false" diagonalDown="false">
      <left style="thin">
        <color rgb="FFB7C3CE"/>
      </left>
      <right style="thin">
        <color rgb="FFB7C3CE"/>
      </right>
      <top style="thin">
        <color rgb="FFB7C3CE"/>
      </top>
      <bottom style="thin">
        <color rgb="FFB7C3CE"/>
      </bottom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4" fillId="0" borderId="0" applyFont="true" applyBorder="false" applyAlignment="false" applyProtection="false"/>
    <xf numFmtId="166" fontId="4" fillId="0" borderId="0" applyFont="true" applyBorder="false" applyAlignment="false" applyProtection="false"/>
    <xf numFmtId="167" fontId="4" fillId="0" borderId="0" applyFont="true" applyBorder="false" applyAlignment="false" applyProtection="false"/>
    <xf numFmtId="168" fontId="4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3" borderId="0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4" borderId="2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3" xfId="24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0" fontId="10" fillId="6" borderId="3" xfId="24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5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7" borderId="0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2" borderId="1" xfId="24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0" fillId="7" borderId="3" xfId="24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0" fontId="10" fillId="6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7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0" fillId="6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8" fillId="8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8" fillId="8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5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7" borderId="3" xfId="24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0" fontId="10" fillId="6" borderId="3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6" borderId="3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8" fillId="8" borderId="3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8" borderId="3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3" xfId="24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70" fontId="8" fillId="8" borderId="3" xfId="24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3" fillId="9" borderId="4" xfId="24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4" fillId="7" borderId="0" xfId="24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4" fillId="7" borderId="0" xfId="24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12" fillId="9" borderId="3" xfId="2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6" borderId="3" xfId="24" applyFont="true" applyBorder="true" applyAlignment="true" applyProtection="false">
      <alignment horizontal="general" vertical="center" textRotation="0" wrapText="true" indent="0" shrinkToFit="false"/>
      <protection locked="true" hidden="false"/>
    </xf>
  </cellXfs>
  <cellStyles count="1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omma" xfId="20"/>
    <cellStyle name="Comma [0]" xfId="21"/>
    <cellStyle name="Currency" xfId="22"/>
    <cellStyle name="Currency [0]" xfId="23"/>
    <cellStyle name="Normal" xfId="24"/>
    <cellStyle name="Normal 1" xfId="25"/>
    <cellStyle name="Percent" xfId="26"/>
  </cellStyles>
  <dxfs count="3">
    <dxf>
      <font>
        <b val="1"/>
        <color rgb="FF9C0006"/>
      </font>
      <fill>
        <patternFill>
          <bgColor rgb="FFFCE4D6"/>
        </patternFill>
      </fill>
    </dxf>
    <dxf>
      <font>
        <b val="1"/>
        <color rgb="FF9C0006"/>
      </font>
      <fill>
        <patternFill>
          <bgColor rgb="FFFCE4D6"/>
        </patternFill>
      </fill>
    </dxf>
    <dxf>
      <font>
        <b val="1"/>
        <color rgb="FF9C0006"/>
      </font>
      <fill>
        <patternFill>
          <bgColor rgb="FFFCE4D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7C3CE"/>
      <rgbColor rgb="FF6B7785"/>
      <rgbColor rgb="FF9999FF"/>
      <rgbColor rgb="FF993366"/>
      <rgbColor rgb="FFFFF2CC"/>
      <rgbColor rgb="FFD9EA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CE6F1"/>
      <rgbColor rgb="FFE7E6E6"/>
      <rgbColor rgb="FFF3F6F8"/>
      <rgbColor rgb="FF99CCFF"/>
      <rgbColor rgb="FFFF99CC"/>
      <rgbColor rgb="FFCC99FF"/>
      <rgbColor rgb="FFFCE4D6"/>
      <rgbColor rgb="FF2F75B5"/>
      <rgbColor rgb="FF33CCCC"/>
      <rgbColor rgb="FF99CC00"/>
      <rgbColor rgb="FFFFCC00"/>
      <rgbColor rgb="FFFF9900"/>
      <rgbColor rgb="FFC65911"/>
      <rgbColor rgb="FF666699"/>
      <rgbColor rgb="FF969696"/>
      <rgbColor rgb="FF19324A"/>
      <rgbColor rgb="FF339966"/>
      <rgbColor rgb="FF003300"/>
      <rgbColor rgb="FF333300"/>
      <rgbColor rgb="FF993300"/>
      <rgbColor rgb="FF993366"/>
      <rgbColor rgb="FF1F4E78"/>
      <rgbColor rgb="FF1F29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 pitchFamily="0" charset="1"/>
        <a:ea typeface="Calibri Light" pitchFamily="0" charset="1"/>
        <a:cs typeface="Calibri Light" pitchFamily="0" charset="1"/>
      </a:majorFont>
      <a:minorFont>
        <a:latin typeface="Calibri" pitchFamily="0" charset="1"/>
        <a:ea typeface="Calibri" pitchFamily="0" charset="1"/>
        <a:cs typeface="Calibri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</a:schemeClr>
            </a:gs>
            <a:gs pos="50000">
              <a:schemeClr val="phClr">
                <a:tint val="73000"/>
                <a:lumMod val="105000"/>
              </a:schemeClr>
            </a:gs>
            <a:gs pos="100000">
              <a:schemeClr val="phClr">
                <a:tint val="81000"/>
                <a:lumMod val="105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tint val="94000"/>
                <a:lumMod val="102000"/>
              </a:schemeClr>
            </a:gs>
            <a:gs pos="50000">
              <a:schemeClr val="phClr">
                <a:shade val="100000"/>
                <a:lumMod val="100000"/>
              </a:schemeClr>
            </a:gs>
            <a:gs pos="100000">
              <a:schemeClr val="phClr">
                <a:shade val="78000"/>
                <a:lumMod val="99000"/>
              </a:schemeClr>
            </a:gs>
          </a:gsLst>
          <a:lin ang="5400000" scaled="0"/>
          <a:tileRect l="0" t="0" r="0" b="0"/>
        </a:gra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0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cols>
    <col collapsed="false" customWidth="true" hidden="false" outlineLevel="0" max="1" min="1" style="0" width="12"/>
    <col collapsed="false" customWidth="true" hidden="false" outlineLevel="0" max="7" min="2" style="0" width="6.75"/>
    <col collapsed="false" customWidth="true" hidden="false" outlineLevel="0" max="8" min="8" style="0" width="8"/>
    <col collapsed="false" customWidth="true" hidden="false" outlineLevel="0" max="15" min="9" style="0" width="6.75"/>
    <col collapsed="false" customWidth="true" hidden="false" outlineLevel="0" max="16" min="16" style="0" width="8"/>
  </cols>
  <sheetData>
    <row r="1" customFormat="false" ht="20.25" hidden="false" customHeight="true" outlineLevel="0" collapsed="false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 t="s">
        <v>0</v>
      </c>
      <c r="N1" s="1" t="s">
        <v>0</v>
      </c>
      <c r="O1" s="1" t="s">
        <v>0</v>
      </c>
      <c r="P1" s="1" t="s">
        <v>0</v>
      </c>
    </row>
    <row r="2" customFormat="false" ht="20.25" hidden="false" customHeight="true" outlineLevel="0" collapsed="false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 t="s">
        <v>0</v>
      </c>
      <c r="O2" s="1" t="s">
        <v>0</v>
      </c>
      <c r="P2" s="1" t="s">
        <v>0</v>
      </c>
    </row>
    <row r="3" customFormat="false" ht="16.5" hidden="false" customHeight="true" outlineLevel="0" collapsed="false">
      <c r="A3" s="2" t="s">
        <v>1</v>
      </c>
      <c r="B3" s="2" t="s">
        <v>1</v>
      </c>
      <c r="C3" s="2" t="s">
        <v>1</v>
      </c>
      <c r="D3" s="2" t="s">
        <v>1</v>
      </c>
      <c r="E3" s="2" t="s">
        <v>1</v>
      </c>
      <c r="F3" s="2" t="s">
        <v>1</v>
      </c>
      <c r="G3" s="2" t="s">
        <v>1</v>
      </c>
      <c r="H3" s="2" t="s">
        <v>1</v>
      </c>
      <c r="I3" s="2" t="s">
        <v>1</v>
      </c>
      <c r="J3" s="2" t="s">
        <v>1</v>
      </c>
      <c r="K3" s="2" t="s">
        <v>1</v>
      </c>
      <c r="L3" s="2" t="s">
        <v>1</v>
      </c>
      <c r="M3" s="2" t="s">
        <v>1</v>
      </c>
      <c r="N3" s="2" t="s">
        <v>1</v>
      </c>
      <c r="O3" s="2" t="s">
        <v>1</v>
      </c>
      <c r="P3" s="2" t="s">
        <v>1</v>
      </c>
    </row>
    <row r="4" customFormat="false" ht="22.5" hidden="false" customHeight="true" outlineLevel="0" collapsed="false">
      <c r="A4" s="3" t="str">
        <f aca="false">IF(COUNTA(E11,M13,E12,E13,M15,E22,E24,E25,E63)=0,"ЭТАП 3 — введите исходные данные в жёлтые поля",IF(COUNT(E11,M13,E12,E13,M15,E22,E24,E25,E63)&lt;9,"ПРОВЕРКА: заполните обязательные поля",IF(OR(E11&lt;=0,M13&lt;=0,E11&gt;M13,E12&lt;=0,M15&lt;=0,E22&lt;=0,E24&lt;0,E25&lt;=0,E63&lt;0),"ОШИБКА: проверьте глубины, плотности, давления и насос",IF(AND(M24&lt;&gt;"",E72&gt;M24),"ВНИМАНИЕ: НЦД выше допустимого давления обсадной колонны",IF(AND(E26&lt;&gt;"",E72&gt;E26),"ВНИМАНИЕ: НЦД выше предельного давления насоса","РАСЧЁТ ГОТОВ — выполните независимую проверку")))))</f>
        <v>ЭТАП 3 — введите исходные данные в жёлтые поля</v>
      </c>
      <c r="B4" s="3" t="s">
        <v>2</v>
      </c>
      <c r="C4" s="3" t="s">
        <v>2</v>
      </c>
      <c r="D4" s="3" t="s">
        <v>2</v>
      </c>
      <c r="E4" s="3" t="s">
        <v>2</v>
      </c>
      <c r="F4" s="3" t="s">
        <v>2</v>
      </c>
      <c r="G4" s="3" t="s">
        <v>2</v>
      </c>
      <c r="H4" s="3" t="s">
        <v>2</v>
      </c>
      <c r="I4" s="3" t="s">
        <v>2</v>
      </c>
      <c r="J4" s="3" t="s">
        <v>2</v>
      </c>
      <c r="K4" s="3" t="s">
        <v>2</v>
      </c>
      <c r="L4" s="3" t="s">
        <v>2</v>
      </c>
      <c r="M4" s="3" t="s">
        <v>2</v>
      </c>
      <c r="N4" s="3" t="s">
        <v>2</v>
      </c>
      <c r="O4" s="3" t="s">
        <v>2</v>
      </c>
      <c r="P4" s="3" t="s">
        <v>2</v>
      </c>
    </row>
    <row r="5" customFormat="false" ht="22.5" hidden="false" customHeight="true" outlineLevel="0" collapsed="false">
      <c r="A5" s="4" t="s">
        <v>3</v>
      </c>
      <c r="B5" s="4" t="s">
        <v>3</v>
      </c>
      <c r="C5" s="5"/>
      <c r="D5" s="5"/>
      <c r="E5" s="5"/>
      <c r="F5" s="5"/>
      <c r="G5" s="4" t="s">
        <v>4</v>
      </c>
      <c r="H5" s="4" t="s">
        <v>4</v>
      </c>
      <c r="I5" s="5"/>
      <c r="J5" s="5"/>
      <c r="K5" s="5"/>
      <c r="L5" s="5"/>
      <c r="M5" s="6" t="s">
        <v>5</v>
      </c>
      <c r="N5" s="5"/>
      <c r="O5" s="5"/>
      <c r="P5" s="5"/>
    </row>
    <row r="6" customFormat="false" ht="16.5" hidden="false" customHeight="true" outlineLevel="0" collapsed="false">
      <c r="A6" s="4" t="s">
        <v>6</v>
      </c>
      <c r="B6" s="4" t="s">
        <v>6</v>
      </c>
      <c r="C6" s="5"/>
      <c r="D6" s="5"/>
      <c r="E6" s="5"/>
      <c r="F6" s="5"/>
      <c r="G6" s="5"/>
      <c r="H6" s="5"/>
      <c r="I6" s="4" t="s">
        <v>7</v>
      </c>
      <c r="J6" s="4" t="s">
        <v>7</v>
      </c>
      <c r="K6" s="5"/>
      <c r="L6" s="5"/>
      <c r="M6" s="5"/>
      <c r="N6" s="5"/>
      <c r="O6" s="5"/>
      <c r="P6" s="5"/>
    </row>
    <row r="7" customFormat="false" ht="16.5" hidden="false" customHeight="true" outlineLevel="0" collapsed="false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customFormat="false" ht="16.5" hidden="false" customHeight="true" outlineLevel="0" collapsed="false">
      <c r="A8" s="8" t="s">
        <v>8</v>
      </c>
      <c r="B8" s="8" t="s">
        <v>8</v>
      </c>
      <c r="C8" s="8" t="s">
        <v>8</v>
      </c>
      <c r="D8" s="8" t="s">
        <v>8</v>
      </c>
      <c r="E8" s="8" t="s">
        <v>8</v>
      </c>
      <c r="F8" s="8" t="s">
        <v>8</v>
      </c>
      <c r="G8" s="8" t="s">
        <v>8</v>
      </c>
      <c r="H8" s="8" t="s">
        <v>8</v>
      </c>
      <c r="I8" s="8" t="s">
        <v>8</v>
      </c>
      <c r="J8" s="8" t="s">
        <v>8</v>
      </c>
      <c r="K8" s="8" t="s">
        <v>8</v>
      </c>
      <c r="L8" s="8" t="s">
        <v>8</v>
      </c>
      <c r="M8" s="8" t="s">
        <v>8</v>
      </c>
      <c r="N8" s="8" t="s">
        <v>8</v>
      </c>
      <c r="O8" s="8" t="s">
        <v>8</v>
      </c>
      <c r="P8" s="8" t="s">
        <v>8</v>
      </c>
    </row>
    <row r="9" customFormat="false" ht="16.5" hidden="false" customHeight="true" outlineLevel="0" collapsed="false">
      <c r="A9" s="6" t="s">
        <v>9</v>
      </c>
      <c r="B9" s="6" t="s">
        <v>9</v>
      </c>
      <c r="C9" s="6" t="s">
        <v>9</v>
      </c>
      <c r="D9" s="6" t="s">
        <v>9</v>
      </c>
      <c r="E9" s="6" t="s">
        <v>10</v>
      </c>
      <c r="F9" s="6" t="s">
        <v>10</v>
      </c>
      <c r="G9" s="6" t="s">
        <v>10</v>
      </c>
      <c r="H9" s="6" t="s">
        <v>11</v>
      </c>
      <c r="I9" s="6" t="s">
        <v>9</v>
      </c>
      <c r="J9" s="6" t="s">
        <v>9</v>
      </c>
      <c r="K9" s="6" t="s">
        <v>9</v>
      </c>
      <c r="L9" s="6" t="s">
        <v>9</v>
      </c>
      <c r="M9" s="6" t="s">
        <v>10</v>
      </c>
      <c r="N9" s="6" t="s">
        <v>10</v>
      </c>
      <c r="O9" s="6" t="s">
        <v>10</v>
      </c>
      <c r="P9" s="6" t="s">
        <v>11</v>
      </c>
    </row>
    <row r="10" customFormat="false" ht="22.5" hidden="false" customHeight="true" outlineLevel="0" collapsed="false">
      <c r="A10" s="9" t="s">
        <v>12</v>
      </c>
      <c r="B10" s="9" t="s">
        <v>12</v>
      </c>
      <c r="C10" s="9" t="s">
        <v>12</v>
      </c>
      <c r="D10" s="9" t="s">
        <v>12</v>
      </c>
      <c r="E10" s="10"/>
      <c r="F10" s="10"/>
      <c r="G10" s="10"/>
      <c r="H10" s="11" t="s">
        <v>13</v>
      </c>
      <c r="I10" s="9" t="s">
        <v>14</v>
      </c>
      <c r="J10" s="9" t="s">
        <v>14</v>
      </c>
      <c r="K10" s="9" t="s">
        <v>14</v>
      </c>
      <c r="L10" s="9" t="s">
        <v>14</v>
      </c>
      <c r="M10" s="10"/>
      <c r="N10" s="10"/>
      <c r="O10" s="10"/>
      <c r="P10" s="11" t="s">
        <v>13</v>
      </c>
    </row>
    <row r="11" customFormat="false" ht="22.5" hidden="false" customHeight="true" outlineLevel="0" collapsed="false">
      <c r="A11" s="9" t="s">
        <v>15</v>
      </c>
      <c r="B11" s="9" t="s">
        <v>15</v>
      </c>
      <c r="C11" s="9" t="s">
        <v>15</v>
      </c>
      <c r="D11" s="9" t="s">
        <v>15</v>
      </c>
      <c r="E11" s="10"/>
      <c r="F11" s="10"/>
      <c r="G11" s="10"/>
      <c r="H11" s="11" t="s">
        <v>13</v>
      </c>
      <c r="I11" s="9" t="s">
        <v>16</v>
      </c>
      <c r="J11" s="9" t="s">
        <v>16</v>
      </c>
      <c r="K11" s="9" t="s">
        <v>16</v>
      </c>
      <c r="L11" s="9" t="s">
        <v>16</v>
      </c>
      <c r="M11" s="10"/>
      <c r="N11" s="10"/>
      <c r="O11" s="10"/>
      <c r="P11" s="11" t="s">
        <v>13</v>
      </c>
    </row>
    <row r="12" customFormat="false" ht="22.5" hidden="false" customHeight="true" outlineLevel="0" collapsed="false">
      <c r="A12" s="9" t="s">
        <v>17</v>
      </c>
      <c r="B12" s="9" t="s">
        <v>17</v>
      </c>
      <c r="C12" s="9" t="s">
        <v>17</v>
      </c>
      <c r="D12" s="9" t="s">
        <v>17</v>
      </c>
      <c r="E12" s="12"/>
      <c r="F12" s="12"/>
      <c r="G12" s="12"/>
      <c r="H12" s="11" t="s">
        <v>18</v>
      </c>
      <c r="I12" s="9" t="s">
        <v>19</v>
      </c>
      <c r="J12" s="9" t="s">
        <v>19</v>
      </c>
      <c r="K12" s="9" t="s">
        <v>19</v>
      </c>
      <c r="L12" s="9" t="s">
        <v>19</v>
      </c>
      <c r="M12" s="10"/>
      <c r="N12" s="10"/>
      <c r="O12" s="10"/>
      <c r="P12" s="11" t="s">
        <v>13</v>
      </c>
    </row>
    <row r="13" customFormat="false" ht="22.5" hidden="false" customHeight="true" outlineLevel="0" collapsed="false">
      <c r="A13" s="9" t="s">
        <v>20</v>
      </c>
      <c r="B13" s="9" t="s">
        <v>20</v>
      </c>
      <c r="C13" s="9" t="s">
        <v>20</v>
      </c>
      <c r="D13" s="9" t="s">
        <v>20</v>
      </c>
      <c r="E13" s="10"/>
      <c r="F13" s="10"/>
      <c r="G13" s="10"/>
      <c r="H13" s="11" t="s">
        <v>21</v>
      </c>
      <c r="I13" s="9" t="s">
        <v>22</v>
      </c>
      <c r="J13" s="9" t="s">
        <v>22</v>
      </c>
      <c r="K13" s="9" t="s">
        <v>22</v>
      </c>
      <c r="L13" s="9" t="s">
        <v>22</v>
      </c>
      <c r="M13" s="10"/>
      <c r="N13" s="10"/>
      <c r="O13" s="10"/>
      <c r="P13" s="11" t="s">
        <v>13</v>
      </c>
    </row>
    <row r="14" customFormat="false" ht="22.5" hidden="false" customHeight="true" outlineLevel="0" collapsed="false">
      <c r="A14" s="9" t="s">
        <v>23</v>
      </c>
      <c r="B14" s="9" t="s">
        <v>23</v>
      </c>
      <c r="C14" s="9" t="s">
        <v>23</v>
      </c>
      <c r="D14" s="9" t="s">
        <v>23</v>
      </c>
      <c r="E14" s="13" t="str">
        <f aca="false">IF(E16="","",IF(M24="",E16,MIN(E16,M24)))</f>
        <v/>
      </c>
      <c r="F14" s="13"/>
      <c r="G14" s="13"/>
      <c r="H14" s="11" t="s">
        <v>21</v>
      </c>
      <c r="I14" s="9" t="s">
        <v>24</v>
      </c>
      <c r="J14" s="9" t="s">
        <v>24</v>
      </c>
      <c r="K14" s="9" t="s">
        <v>24</v>
      </c>
      <c r="L14" s="9" t="s">
        <v>24</v>
      </c>
      <c r="M14" s="10"/>
      <c r="N14" s="10"/>
      <c r="O14" s="10"/>
      <c r="P14" s="11" t="s">
        <v>25</v>
      </c>
    </row>
    <row r="15" customFormat="false" ht="22.5" hidden="false" customHeight="true" outlineLevel="0" collapsed="false">
      <c r="A15" s="9" t="s">
        <v>26</v>
      </c>
      <c r="B15" s="9" t="s">
        <v>26</v>
      </c>
      <c r="C15" s="9" t="s">
        <v>26</v>
      </c>
      <c r="D15" s="9" t="s">
        <v>26</v>
      </c>
      <c r="E15" s="14" t="str">
        <f aca="false">IF(OR(E11="",E12="",E13="",E11&lt;=0),"",E12+E13/(0.0981*E11))</f>
        <v/>
      </c>
      <c r="F15" s="14"/>
      <c r="G15" s="14"/>
      <c r="H15" s="11" t="s">
        <v>18</v>
      </c>
      <c r="I15" s="9" t="s">
        <v>27</v>
      </c>
      <c r="J15" s="9" t="s">
        <v>27</v>
      </c>
      <c r="K15" s="9" t="s">
        <v>27</v>
      </c>
      <c r="L15" s="9" t="s">
        <v>27</v>
      </c>
      <c r="M15" s="12"/>
      <c r="N15" s="12"/>
      <c r="O15" s="12"/>
      <c r="P15" s="11" t="s">
        <v>18</v>
      </c>
    </row>
    <row r="16" customFormat="false" ht="22.5" hidden="false" customHeight="true" outlineLevel="0" collapsed="false">
      <c r="A16" s="9" t="s">
        <v>28</v>
      </c>
      <c r="B16" s="9" t="s">
        <v>28</v>
      </c>
      <c r="C16" s="9" t="s">
        <v>28</v>
      </c>
      <c r="D16" s="9" t="s">
        <v>28</v>
      </c>
      <c r="E16" s="13" t="str">
        <f aca="false">IF(OR(E15="",M15="",E11=""),"",MAX(0,(E15-M15)*0.0981*E11))</f>
        <v/>
      </c>
      <c r="F16" s="13"/>
      <c r="G16" s="13"/>
      <c r="H16" s="11" t="s">
        <v>21</v>
      </c>
      <c r="I16" s="9" t="s">
        <v>29</v>
      </c>
      <c r="J16" s="9" t="s">
        <v>30</v>
      </c>
      <c r="K16" s="9" t="s">
        <v>30</v>
      </c>
      <c r="L16" s="9" t="s">
        <v>30</v>
      </c>
      <c r="M16" s="14" t="str">
        <f aca="false">IF(E71="","",E71)</f>
        <v/>
      </c>
      <c r="N16" s="14"/>
      <c r="O16" s="14"/>
      <c r="P16" s="11" t="s">
        <v>18</v>
      </c>
    </row>
    <row r="17" customFormat="false" ht="22.5" hidden="false" customHeight="true" outlineLevel="0" collapsed="false">
      <c r="A17" s="9" t="s">
        <v>31</v>
      </c>
      <c r="B17" s="9" t="s">
        <v>31</v>
      </c>
      <c r="C17" s="9" t="s">
        <v>31</v>
      </c>
      <c r="D17" s="9" t="s">
        <v>31</v>
      </c>
      <c r="E17" s="10"/>
      <c r="F17" s="10"/>
      <c r="G17" s="10"/>
      <c r="H17" s="11" t="s">
        <v>32</v>
      </c>
      <c r="I17" s="9" t="s">
        <v>33</v>
      </c>
      <c r="J17" s="9" t="s">
        <v>33</v>
      </c>
      <c r="K17" s="9" t="s">
        <v>33</v>
      </c>
      <c r="L17" s="9" t="s">
        <v>33</v>
      </c>
      <c r="M17" s="10"/>
      <c r="N17" s="10"/>
      <c r="O17" s="10"/>
      <c r="P17" s="11" t="s">
        <v>32</v>
      </c>
    </row>
    <row r="18" customFormat="false" ht="16.5" hidden="false" customHeight="true" outlineLevel="0" collapsed="false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customFormat="false" ht="16.5" hidden="false" customHeight="true" outlineLevel="0" collapsed="false">
      <c r="A19" s="8" t="s">
        <v>34</v>
      </c>
      <c r="B19" s="8" t="s">
        <v>34</v>
      </c>
      <c r="C19" s="8" t="s">
        <v>34</v>
      </c>
      <c r="D19" s="8" t="s">
        <v>34</v>
      </c>
      <c r="E19" s="8" t="s">
        <v>34</v>
      </c>
      <c r="F19" s="8" t="s">
        <v>34</v>
      </c>
      <c r="G19" s="8" t="s">
        <v>34</v>
      </c>
      <c r="H19" s="8" t="s">
        <v>34</v>
      </c>
      <c r="I19" s="8" t="s">
        <v>34</v>
      </c>
      <c r="J19" s="8" t="s">
        <v>34</v>
      </c>
      <c r="K19" s="8" t="s">
        <v>34</v>
      </c>
      <c r="L19" s="8" t="s">
        <v>34</v>
      </c>
      <c r="M19" s="8" t="s">
        <v>34</v>
      </c>
      <c r="N19" s="8" t="s">
        <v>34</v>
      </c>
      <c r="O19" s="8" t="s">
        <v>34</v>
      </c>
      <c r="P19" s="8" t="s">
        <v>34</v>
      </c>
    </row>
    <row r="20" customFormat="false" ht="16.5" hidden="false" customHeight="true" outlineLevel="0" collapsed="false">
      <c r="A20" s="6" t="s">
        <v>9</v>
      </c>
      <c r="B20" s="6" t="s">
        <v>9</v>
      </c>
      <c r="C20" s="6" t="s">
        <v>9</v>
      </c>
      <c r="D20" s="6" t="s">
        <v>9</v>
      </c>
      <c r="E20" s="6" t="s">
        <v>10</v>
      </c>
      <c r="F20" s="6" t="s">
        <v>10</v>
      </c>
      <c r="G20" s="6" t="s">
        <v>10</v>
      </c>
      <c r="H20" s="6" t="s">
        <v>11</v>
      </c>
      <c r="I20" s="6" t="s">
        <v>9</v>
      </c>
      <c r="J20" s="6" t="s">
        <v>9</v>
      </c>
      <c r="K20" s="6" t="s">
        <v>9</v>
      </c>
      <c r="L20" s="6" t="s">
        <v>9</v>
      </c>
      <c r="M20" s="6" t="s">
        <v>10</v>
      </c>
      <c r="N20" s="6" t="s">
        <v>10</v>
      </c>
      <c r="O20" s="6" t="s">
        <v>10</v>
      </c>
      <c r="P20" s="6" t="s">
        <v>11</v>
      </c>
    </row>
    <row r="21" customFormat="false" ht="22.5" hidden="false" customHeight="true" outlineLevel="0" collapsed="false">
      <c r="A21" s="9" t="s">
        <v>35</v>
      </c>
      <c r="B21" s="9" t="s">
        <v>35</v>
      </c>
      <c r="C21" s="9" t="s">
        <v>35</v>
      </c>
      <c r="D21" s="9" t="s">
        <v>35</v>
      </c>
      <c r="E21" s="10"/>
      <c r="F21" s="10"/>
      <c r="G21" s="10"/>
      <c r="H21" s="11" t="s">
        <v>32</v>
      </c>
      <c r="I21" s="9" t="s">
        <v>36</v>
      </c>
      <c r="J21" s="9" t="s">
        <v>36</v>
      </c>
      <c r="K21" s="9" t="s">
        <v>36</v>
      </c>
      <c r="L21" s="9" t="s">
        <v>36</v>
      </c>
      <c r="M21" s="10"/>
      <c r="N21" s="10"/>
      <c r="O21" s="10"/>
      <c r="P21" s="11" t="s">
        <v>37</v>
      </c>
    </row>
    <row r="22" customFormat="false" ht="22.5" hidden="false" customHeight="true" outlineLevel="0" collapsed="false">
      <c r="A22" s="9" t="s">
        <v>38</v>
      </c>
      <c r="B22" s="9" t="s">
        <v>38</v>
      </c>
      <c r="C22" s="9" t="s">
        <v>38</v>
      </c>
      <c r="D22" s="9" t="s">
        <v>38</v>
      </c>
      <c r="E22" s="10"/>
      <c r="F22" s="10"/>
      <c r="G22" s="10"/>
      <c r="H22" s="11" t="s">
        <v>39</v>
      </c>
      <c r="I22" s="9" t="s">
        <v>40</v>
      </c>
      <c r="J22" s="9" t="s">
        <v>40</v>
      </c>
      <c r="K22" s="9" t="s">
        <v>40</v>
      </c>
      <c r="L22" s="9" t="s">
        <v>40</v>
      </c>
      <c r="M22" s="10"/>
      <c r="N22" s="10"/>
      <c r="O22" s="10"/>
      <c r="P22" s="11" t="s">
        <v>37</v>
      </c>
    </row>
    <row r="23" customFormat="false" ht="22.5" hidden="false" customHeight="true" outlineLevel="0" collapsed="false">
      <c r="A23" s="9" t="s">
        <v>41</v>
      </c>
      <c r="B23" s="9" t="s">
        <v>41</v>
      </c>
      <c r="C23" s="9" t="s">
        <v>41</v>
      </c>
      <c r="D23" s="9" t="s">
        <v>41</v>
      </c>
      <c r="E23" s="10"/>
      <c r="F23" s="10"/>
      <c r="G23" s="10"/>
      <c r="H23" s="11" t="s">
        <v>42</v>
      </c>
      <c r="I23" s="9" t="s">
        <v>43</v>
      </c>
      <c r="J23" s="9" t="s">
        <v>43</v>
      </c>
      <c r="K23" s="9" t="s">
        <v>43</v>
      </c>
      <c r="L23" s="9" t="s">
        <v>43</v>
      </c>
      <c r="M23" s="10"/>
      <c r="N23" s="10"/>
      <c r="O23" s="10"/>
      <c r="P23" s="11" t="s">
        <v>37</v>
      </c>
    </row>
    <row r="24" customFormat="false" ht="22.5" hidden="false" customHeight="true" outlineLevel="0" collapsed="false">
      <c r="A24" s="9" t="s">
        <v>44</v>
      </c>
      <c r="B24" s="9" t="s">
        <v>44</v>
      </c>
      <c r="C24" s="9" t="s">
        <v>44</v>
      </c>
      <c r="D24" s="9" t="s">
        <v>44</v>
      </c>
      <c r="E24" s="10"/>
      <c r="F24" s="10"/>
      <c r="G24" s="10"/>
      <c r="H24" s="11" t="s">
        <v>21</v>
      </c>
      <c r="I24" s="9" t="s">
        <v>45</v>
      </c>
      <c r="J24" s="9" t="s">
        <v>45</v>
      </c>
      <c r="K24" s="9" t="s">
        <v>45</v>
      </c>
      <c r="L24" s="9" t="s">
        <v>45</v>
      </c>
      <c r="M24" s="10"/>
      <c r="N24" s="10"/>
      <c r="O24" s="10"/>
      <c r="P24" s="11" t="s">
        <v>21</v>
      </c>
    </row>
    <row r="25" customFormat="false" ht="22.5" hidden="false" customHeight="true" outlineLevel="0" collapsed="false">
      <c r="A25" s="9" t="s">
        <v>46</v>
      </c>
      <c r="B25" s="9" t="s">
        <v>46</v>
      </c>
      <c r="C25" s="9" t="s">
        <v>46</v>
      </c>
      <c r="D25" s="9" t="s">
        <v>46</v>
      </c>
      <c r="E25" s="10"/>
      <c r="F25" s="10"/>
      <c r="G25" s="10"/>
      <c r="H25" s="11" t="s">
        <v>42</v>
      </c>
      <c r="I25" s="9" t="s">
        <v>47</v>
      </c>
      <c r="J25" s="9" t="s">
        <v>47</v>
      </c>
      <c r="K25" s="9" t="s">
        <v>47</v>
      </c>
      <c r="L25" s="9" t="s">
        <v>47</v>
      </c>
      <c r="M25" s="10"/>
      <c r="N25" s="10"/>
      <c r="O25" s="10"/>
      <c r="P25" s="11" t="s">
        <v>21</v>
      </c>
    </row>
    <row r="26" customFormat="false" ht="22.5" hidden="false" customHeight="true" outlineLevel="0" collapsed="false">
      <c r="A26" s="9" t="s">
        <v>48</v>
      </c>
      <c r="B26" s="9" t="s">
        <v>48</v>
      </c>
      <c r="C26" s="9" t="s">
        <v>48</v>
      </c>
      <c r="D26" s="9" t="s">
        <v>48</v>
      </c>
      <c r="E26" s="10"/>
      <c r="F26" s="10"/>
      <c r="G26" s="10"/>
      <c r="H26" s="11" t="s">
        <v>21</v>
      </c>
      <c r="I26" s="9" t="s">
        <v>49</v>
      </c>
      <c r="J26" s="9" t="s">
        <v>49</v>
      </c>
      <c r="K26" s="9" t="s">
        <v>49</v>
      </c>
      <c r="L26" s="9" t="s">
        <v>49</v>
      </c>
      <c r="M26" s="10"/>
      <c r="N26" s="10"/>
      <c r="O26" s="10"/>
      <c r="P26" s="11" t="s">
        <v>50</v>
      </c>
    </row>
    <row r="27" customFormat="false" ht="22.5" hidden="false" customHeight="true" outlineLevel="0" collapsed="false">
      <c r="A27" s="9" t="s">
        <v>51</v>
      </c>
      <c r="B27" s="9" t="s">
        <v>51</v>
      </c>
      <c r="C27" s="9" t="s">
        <v>51</v>
      </c>
      <c r="D27" s="9" t="s">
        <v>51</v>
      </c>
      <c r="E27" s="10"/>
      <c r="F27" s="10"/>
      <c r="G27" s="10"/>
      <c r="H27" s="11" t="s">
        <v>37</v>
      </c>
      <c r="I27" s="9" t="s">
        <v>52</v>
      </c>
      <c r="J27" s="9" t="s">
        <v>52</v>
      </c>
      <c r="K27" s="9" t="s">
        <v>52</v>
      </c>
      <c r="L27" s="9" t="s">
        <v>52</v>
      </c>
      <c r="M27" s="10"/>
      <c r="N27" s="10"/>
      <c r="O27" s="10"/>
      <c r="P27" s="11" t="s">
        <v>32</v>
      </c>
    </row>
    <row r="28" customFormat="false" ht="16.5" hidden="false" customHeight="true" outlineLevel="0" collapsed="false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</row>
    <row r="29" customFormat="false" ht="16.5" hidden="false" customHeight="true" outlineLevel="0" collapsed="false">
      <c r="A29" s="8" t="s">
        <v>53</v>
      </c>
      <c r="B29" s="8" t="s">
        <v>53</v>
      </c>
      <c r="C29" s="8" t="s">
        <v>53</v>
      </c>
      <c r="D29" s="8" t="s">
        <v>53</v>
      </c>
      <c r="E29" s="8" t="s">
        <v>53</v>
      </c>
      <c r="F29" s="8" t="s">
        <v>53</v>
      </c>
      <c r="G29" s="8" t="s">
        <v>53</v>
      </c>
      <c r="H29" s="8" t="s">
        <v>53</v>
      </c>
      <c r="I29" s="8" t="s">
        <v>53</v>
      </c>
      <c r="J29" s="8" t="s">
        <v>53</v>
      </c>
      <c r="K29" s="8" t="s">
        <v>53</v>
      </c>
      <c r="L29" s="8" t="s">
        <v>53</v>
      </c>
      <c r="M29" s="8" t="s">
        <v>53</v>
      </c>
      <c r="N29" s="8" t="s">
        <v>53</v>
      </c>
      <c r="O29" s="8" t="s">
        <v>53</v>
      </c>
      <c r="P29" s="8" t="s">
        <v>53</v>
      </c>
    </row>
    <row r="30" customFormat="false" ht="16.5" hidden="false" customHeight="true" outlineLevel="0" collapsed="false">
      <c r="A30" s="15" t="s">
        <v>54</v>
      </c>
      <c r="B30" s="15" t="s">
        <v>55</v>
      </c>
      <c r="C30" s="15" t="s">
        <v>55</v>
      </c>
      <c r="D30" s="15" t="s">
        <v>56</v>
      </c>
      <c r="E30" s="15" t="s">
        <v>56</v>
      </c>
      <c r="F30" s="15" t="s">
        <v>57</v>
      </c>
      <c r="G30" s="15" t="s">
        <v>57</v>
      </c>
      <c r="H30" s="15" t="s">
        <v>58</v>
      </c>
      <c r="I30" s="15" t="s">
        <v>59</v>
      </c>
      <c r="J30" s="15" t="s">
        <v>60</v>
      </c>
      <c r="K30" s="15" t="s">
        <v>61</v>
      </c>
      <c r="L30" s="15" t="s">
        <v>62</v>
      </c>
      <c r="M30" s="15" t="s">
        <v>63</v>
      </c>
      <c r="N30" s="15" t="s">
        <v>64</v>
      </c>
      <c r="O30" s="15" t="s">
        <v>64</v>
      </c>
      <c r="P30" s="15" t="s">
        <v>65</v>
      </c>
    </row>
    <row r="31" customFormat="false" ht="16.5" hidden="false" customHeight="true" outlineLevel="0" collapsed="false">
      <c r="A31" s="15" t="s">
        <v>54</v>
      </c>
      <c r="B31" s="15" t="s">
        <v>55</v>
      </c>
      <c r="C31" s="15" t="s">
        <v>55</v>
      </c>
      <c r="D31" s="15" t="s">
        <v>56</v>
      </c>
      <c r="E31" s="15" t="s">
        <v>56</v>
      </c>
      <c r="F31" s="15" t="s">
        <v>57</v>
      </c>
      <c r="G31" s="15" t="s">
        <v>57</v>
      </c>
      <c r="H31" s="15" t="s">
        <v>59</v>
      </c>
      <c r="I31" s="15" t="s">
        <v>59</v>
      </c>
      <c r="J31" s="15" t="s">
        <v>61</v>
      </c>
      <c r="K31" s="15" t="s">
        <v>61</v>
      </c>
      <c r="L31" s="15" t="s">
        <v>63</v>
      </c>
      <c r="M31" s="15" t="s">
        <v>63</v>
      </c>
      <c r="N31" s="15" t="s">
        <v>64</v>
      </c>
      <c r="O31" s="15" t="s">
        <v>64</v>
      </c>
      <c r="P31" s="15" t="s">
        <v>65</v>
      </c>
    </row>
    <row r="32" customFormat="false" ht="33" hidden="false" customHeight="true" outlineLevel="0" collapsed="false">
      <c r="A32" s="16" t="s">
        <v>66</v>
      </c>
      <c r="B32" s="17"/>
      <c r="C32" s="18"/>
      <c r="D32" s="17"/>
      <c r="E32" s="18"/>
      <c r="F32" s="19" t="str">
        <f aca="false">IF(COUNT(B32,D32)&lt;2,"",MAX(0,D32-B32))</f>
        <v/>
      </c>
      <c r="G32" s="18"/>
      <c r="H32" s="17"/>
      <c r="I32" s="18"/>
      <c r="J32" s="17"/>
      <c r="K32" s="18"/>
      <c r="L32" s="19" t="str">
        <f aca="false">IF(OR(J32="",J32&lt;=0),"",0.0007853981634*J32^2)</f>
        <v/>
      </c>
      <c r="M32" s="18"/>
      <c r="N32" s="19" t="str">
        <f aca="false">IF(COUNT(F32,L32)&lt;2,"",F32*L32)</f>
        <v/>
      </c>
      <c r="O32" s="20"/>
      <c r="P32" s="19" t="str">
        <f aca="false">IF(OR(COUNT(N32,E22)&lt;2,E22&lt;=0),"",N32/E22)</f>
        <v/>
      </c>
    </row>
    <row r="33" customFormat="false" ht="33" hidden="false" customHeight="true" outlineLevel="0" collapsed="false">
      <c r="A33" s="16" t="s">
        <v>67</v>
      </c>
      <c r="B33" s="17"/>
      <c r="C33" s="18"/>
      <c r="D33" s="17"/>
      <c r="E33" s="18"/>
      <c r="F33" s="19" t="str">
        <f aca="false">IF(COUNT(B33,D33)&lt;2,"",MAX(0,D33-B33))</f>
        <v/>
      </c>
      <c r="G33" s="18"/>
      <c r="H33" s="17"/>
      <c r="I33" s="18"/>
      <c r="J33" s="17"/>
      <c r="K33" s="18"/>
      <c r="L33" s="19" t="str">
        <f aca="false">IF(OR(J33="",J33&lt;=0),"",0.0007853981634*J33^2)</f>
        <v/>
      </c>
      <c r="M33" s="18"/>
      <c r="N33" s="19" t="str">
        <f aca="false">IF(COUNT(F33,L33)&lt;2,"",F33*L33)</f>
        <v/>
      </c>
      <c r="O33" s="20"/>
      <c r="P33" s="19" t="str">
        <f aca="false">IF(OR(COUNT(N33,E22)&lt;2,E22&lt;=0),"",N33/E22)</f>
        <v/>
      </c>
    </row>
    <row r="34" customFormat="false" ht="33" hidden="false" customHeight="true" outlineLevel="0" collapsed="false">
      <c r="A34" s="16" t="s">
        <v>68</v>
      </c>
      <c r="B34" s="17"/>
      <c r="C34" s="18"/>
      <c r="D34" s="17"/>
      <c r="E34" s="18"/>
      <c r="F34" s="19" t="str">
        <f aca="false">IF(COUNT(B34,D34)&lt;2,"",MAX(0,D34-B34))</f>
        <v/>
      </c>
      <c r="G34" s="18"/>
      <c r="H34" s="17"/>
      <c r="I34" s="18"/>
      <c r="J34" s="17"/>
      <c r="K34" s="18"/>
      <c r="L34" s="19" t="str">
        <f aca="false">IF(OR(J34="",J34&lt;=0),"",0.0007853981634*J34^2)</f>
        <v/>
      </c>
      <c r="M34" s="18"/>
      <c r="N34" s="19" t="str">
        <f aca="false">IF(COUNT(F34,L34)&lt;2,"",F34*L34)</f>
        <v/>
      </c>
      <c r="O34" s="20"/>
      <c r="P34" s="19" t="str">
        <f aca="false">IF(OR(COUNT(N34,E22)&lt;2,E22&lt;=0),"",N34/E22)</f>
        <v/>
      </c>
    </row>
    <row r="35" customFormat="false" ht="33" hidden="false" customHeight="true" outlineLevel="0" collapsed="false">
      <c r="A35" s="16" t="s">
        <v>69</v>
      </c>
      <c r="B35" s="17"/>
      <c r="C35" s="18"/>
      <c r="D35" s="17"/>
      <c r="E35" s="18"/>
      <c r="F35" s="19" t="str">
        <f aca="false">IF(COUNT(B35,D35)&lt;2,"",MAX(0,D35-B35))</f>
        <v/>
      </c>
      <c r="G35" s="18"/>
      <c r="H35" s="17"/>
      <c r="I35" s="18"/>
      <c r="J35" s="17"/>
      <c r="K35" s="18"/>
      <c r="L35" s="19" t="str">
        <f aca="false">IF(OR(J35="",J35&lt;=0),"",0.0007853981634*J35^2)</f>
        <v/>
      </c>
      <c r="M35" s="18"/>
      <c r="N35" s="19" t="str">
        <f aca="false">IF(COUNT(F35,L35)&lt;2,"",F35*L35)</f>
        <v/>
      </c>
      <c r="O35" s="20"/>
      <c r="P35" s="19" t="str">
        <f aca="false">IF(OR(COUNT(N35,E22)&lt;2,E22&lt;=0),"",N35/E22)</f>
        <v/>
      </c>
    </row>
    <row r="36" customFormat="false" ht="33" hidden="false" customHeight="true" outlineLevel="0" collapsed="false">
      <c r="A36" s="16" t="s">
        <v>70</v>
      </c>
      <c r="B36" s="17"/>
      <c r="C36" s="18"/>
      <c r="D36" s="17"/>
      <c r="E36" s="18"/>
      <c r="F36" s="19" t="str">
        <f aca="false">IF(COUNT(B36,D36)&lt;2,"",MAX(0,D36-B36))</f>
        <v/>
      </c>
      <c r="G36" s="18"/>
      <c r="H36" s="17"/>
      <c r="I36" s="18"/>
      <c r="J36" s="17"/>
      <c r="K36" s="18"/>
      <c r="L36" s="19" t="str">
        <f aca="false">IF(OR(H36="",J36="",H36&lt;=J36,J36&lt;=0),"",0.0007853981634*(H36^2-J36^2))</f>
        <v/>
      </c>
      <c r="M36" s="18"/>
      <c r="N36" s="19" t="str">
        <f aca="false">IF(COUNT(F36,L36)&lt;2,"",F36*L36)</f>
        <v/>
      </c>
      <c r="O36" s="20"/>
      <c r="P36" s="19" t="str">
        <f aca="false">IF(OR(COUNT(N36,E22)&lt;2,E22&lt;=0),"",N36/E22)</f>
        <v/>
      </c>
    </row>
    <row r="37" customFormat="false" ht="33" hidden="false" customHeight="true" outlineLevel="0" collapsed="false">
      <c r="A37" s="16" t="s">
        <v>71</v>
      </c>
      <c r="B37" s="17"/>
      <c r="C37" s="18"/>
      <c r="D37" s="17"/>
      <c r="E37" s="18"/>
      <c r="F37" s="19" t="str">
        <f aca="false">IF(COUNT(B37,D37)&lt;2,"",MAX(0,D37-B37))</f>
        <v/>
      </c>
      <c r="G37" s="18"/>
      <c r="H37" s="17"/>
      <c r="I37" s="18"/>
      <c r="J37" s="17"/>
      <c r="K37" s="18"/>
      <c r="L37" s="19" t="str">
        <f aca="false">IF(OR(H37="",J37="",H37&lt;=J37,J37&lt;=0),"",0.0007853981634*(H37^2-J37^2))</f>
        <v/>
      </c>
      <c r="M37" s="18"/>
      <c r="N37" s="19" t="str">
        <f aca="false">IF(COUNT(F37,L37)&lt;2,"",F37*L37)</f>
        <v/>
      </c>
      <c r="O37" s="20"/>
      <c r="P37" s="19" t="str">
        <f aca="false">IF(OR(COUNT(N37,E22)&lt;2,E22&lt;=0),"",N37/E22)</f>
        <v/>
      </c>
    </row>
    <row r="38" customFormat="false" ht="33" hidden="false" customHeight="true" outlineLevel="0" collapsed="false">
      <c r="A38" s="16" t="s">
        <v>72</v>
      </c>
      <c r="B38" s="17"/>
      <c r="C38" s="18"/>
      <c r="D38" s="17"/>
      <c r="E38" s="18"/>
      <c r="F38" s="19" t="str">
        <f aca="false">IF(COUNT(B38,D38)&lt;2,"",MAX(0,D38-B38))</f>
        <v/>
      </c>
      <c r="G38" s="18"/>
      <c r="H38" s="17"/>
      <c r="I38" s="18"/>
      <c r="J38" s="17"/>
      <c r="K38" s="18"/>
      <c r="L38" s="19" t="str">
        <f aca="false">IF(OR(H38="",J38="",H38&lt;=J38,J38&lt;=0),"",0.0007853981634*(H38^2-J38^2))</f>
        <v/>
      </c>
      <c r="M38" s="18"/>
      <c r="N38" s="19" t="str">
        <f aca="false">IF(COUNT(F38,L38)&lt;2,"",F38*L38)</f>
        <v/>
      </c>
      <c r="O38" s="20"/>
      <c r="P38" s="19" t="str">
        <f aca="false">IF(OR(COUNT(N38,E22)&lt;2,E22&lt;=0),"",N38/E22)</f>
        <v/>
      </c>
    </row>
    <row r="39" customFormat="false" ht="33" hidden="false" customHeight="true" outlineLevel="0" collapsed="false">
      <c r="A39" s="16" t="s">
        <v>73</v>
      </c>
      <c r="B39" s="17"/>
      <c r="C39" s="18"/>
      <c r="D39" s="17"/>
      <c r="E39" s="18"/>
      <c r="F39" s="19" t="str">
        <f aca="false">IF(COUNT(B39,D39)&lt;2,"",MAX(0,D39-B39))</f>
        <v/>
      </c>
      <c r="G39" s="18"/>
      <c r="H39" s="17"/>
      <c r="I39" s="18"/>
      <c r="J39" s="17"/>
      <c r="K39" s="18"/>
      <c r="L39" s="19" t="str">
        <f aca="false">IF(OR(H39="",J39="",H39&lt;=J39,J39&lt;=0),"",0.0007853981634*(H39^2-J39^2))</f>
        <v/>
      </c>
      <c r="M39" s="18"/>
      <c r="N39" s="19" t="str">
        <f aca="false">IF(COUNT(F39,L39)&lt;2,"",F39*L39)</f>
        <v/>
      </c>
      <c r="O39" s="20"/>
      <c r="P39" s="19" t="str">
        <f aca="false">IF(OR(COUNT(N39,E22)&lt;2,E22&lt;=0),"",N39/E22)</f>
        <v/>
      </c>
    </row>
    <row r="40" customFormat="false" ht="16.5" hidden="false" customHeight="true" outlineLevel="0" collapsed="false">
      <c r="A40" s="21" t="s">
        <v>74</v>
      </c>
      <c r="B40" s="21" t="s">
        <v>74</v>
      </c>
      <c r="C40" s="21" t="s">
        <v>74</v>
      </c>
      <c r="D40" s="21" t="s">
        <v>74</v>
      </c>
      <c r="E40" s="21" t="s">
        <v>74</v>
      </c>
      <c r="F40" s="21" t="s">
        <v>74</v>
      </c>
      <c r="G40" s="21" t="s">
        <v>74</v>
      </c>
      <c r="H40" s="21" t="s">
        <v>74</v>
      </c>
      <c r="I40" s="21" t="s">
        <v>74</v>
      </c>
      <c r="J40" s="21" t="s">
        <v>74</v>
      </c>
      <c r="K40" s="21" t="s">
        <v>74</v>
      </c>
      <c r="L40" s="21" t="s">
        <v>74</v>
      </c>
      <c r="M40" s="21" t="s">
        <v>74</v>
      </c>
      <c r="N40" s="22" t="str">
        <f aca="false">IF(COUNT(N32:N39)=0,"",SUM(N32:N39))</f>
        <v/>
      </c>
      <c r="O40" s="22"/>
      <c r="P40" s="22" t="str">
        <f aca="false">IF(COUNT(P32:P39)=0,"",SUM(P32:P39))</f>
        <v/>
      </c>
    </row>
    <row r="41" customFormat="false" ht="16.5" hidden="false" customHeight="true" outlineLevel="0" collapsed="false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</row>
    <row r="42" customFormat="false" ht="16.5" hidden="false" customHeight="true" outlineLevel="0" collapsed="false">
      <c r="A42" s="8" t="s">
        <v>75</v>
      </c>
      <c r="B42" s="8" t="s">
        <v>75</v>
      </c>
      <c r="C42" s="8" t="s">
        <v>75</v>
      </c>
      <c r="D42" s="8" t="s">
        <v>75</v>
      </c>
      <c r="E42" s="8" t="s">
        <v>75</v>
      </c>
      <c r="F42" s="8" t="s">
        <v>75</v>
      </c>
      <c r="G42" s="8" t="s">
        <v>75</v>
      </c>
      <c r="H42" s="8" t="s">
        <v>75</v>
      </c>
      <c r="I42" s="8" t="s">
        <v>75</v>
      </c>
      <c r="J42" s="8" t="s">
        <v>75</v>
      </c>
      <c r="K42" s="8" t="s">
        <v>75</v>
      </c>
      <c r="L42" s="8" t="s">
        <v>75</v>
      </c>
      <c r="M42" s="8" t="s">
        <v>75</v>
      </c>
      <c r="N42" s="8" t="s">
        <v>75</v>
      </c>
      <c r="O42" s="8" t="s">
        <v>75</v>
      </c>
      <c r="P42" s="8" t="s">
        <v>75</v>
      </c>
    </row>
    <row r="43" customFormat="false" ht="16.5" hidden="false" customHeight="true" outlineLevel="0" collapsed="false">
      <c r="A43" s="9" t="s">
        <v>76</v>
      </c>
      <c r="B43" s="9" t="s">
        <v>76</v>
      </c>
      <c r="C43" s="9" t="s">
        <v>76</v>
      </c>
      <c r="D43" s="9" t="s">
        <v>76</v>
      </c>
      <c r="E43" s="13" t="str">
        <f aca="false">IF(COUNT(N32:N35)=0,"",SUM(N32:N35))</f>
        <v/>
      </c>
      <c r="F43" s="13"/>
      <c r="G43" s="13"/>
      <c r="H43" s="11" t="s">
        <v>37</v>
      </c>
      <c r="I43" s="9" t="s">
        <v>77</v>
      </c>
      <c r="J43" s="9" t="s">
        <v>77</v>
      </c>
      <c r="K43" s="9" t="s">
        <v>77</v>
      </c>
      <c r="L43" s="9" t="s">
        <v>77</v>
      </c>
      <c r="M43" s="13" t="str">
        <f aca="false">IF(OR(E43="",E22="",E22&lt;=0),"",E43/E22)</f>
        <v/>
      </c>
      <c r="N43" s="13"/>
      <c r="O43" s="13"/>
      <c r="P43" s="11" t="s">
        <v>78</v>
      </c>
    </row>
    <row r="44" customFormat="false" ht="16.5" hidden="false" customHeight="true" outlineLevel="0" collapsed="false">
      <c r="A44" s="9" t="s">
        <v>79</v>
      </c>
      <c r="B44" s="9" t="s">
        <v>79</v>
      </c>
      <c r="C44" s="9" t="s">
        <v>79</v>
      </c>
      <c r="D44" s="9" t="s">
        <v>79</v>
      </c>
      <c r="E44" s="13" t="str">
        <f aca="false">IF(COUNT(N36:N37)=0,"",SUM(N36:N37))</f>
        <v/>
      </c>
      <c r="F44" s="13"/>
      <c r="G44" s="13"/>
      <c r="H44" s="11" t="s">
        <v>37</v>
      </c>
      <c r="I44" s="9" t="s">
        <v>80</v>
      </c>
      <c r="J44" s="9" t="s">
        <v>80</v>
      </c>
      <c r="K44" s="9" t="s">
        <v>80</v>
      </c>
      <c r="L44" s="9" t="s">
        <v>80</v>
      </c>
      <c r="M44" s="13" t="str">
        <f aca="false">IF(OR(E43="",E44="",E22="",E22&lt;=0),"",(E43+E44)/E22)</f>
        <v/>
      </c>
      <c r="N44" s="13"/>
      <c r="O44" s="13"/>
      <c r="P44" s="11" t="s">
        <v>78</v>
      </c>
    </row>
    <row r="45" customFormat="false" ht="16.5" hidden="false" customHeight="true" outlineLevel="0" collapsed="false">
      <c r="A45" s="9" t="s">
        <v>81</v>
      </c>
      <c r="B45" s="9" t="s">
        <v>81</v>
      </c>
      <c r="C45" s="9" t="s">
        <v>81</v>
      </c>
      <c r="D45" s="9" t="s">
        <v>81</v>
      </c>
      <c r="E45" s="13" t="str">
        <f aca="false">IF(COUNT(N38:N39)=0,"",SUM(N38:N39))</f>
        <v/>
      </c>
      <c r="F45" s="13"/>
      <c r="G45" s="13"/>
      <c r="H45" s="11" t="s">
        <v>37</v>
      </c>
      <c r="I45" s="9" t="s">
        <v>82</v>
      </c>
      <c r="J45" s="9" t="s">
        <v>82</v>
      </c>
      <c r="K45" s="9" t="s">
        <v>82</v>
      </c>
      <c r="L45" s="9" t="s">
        <v>82</v>
      </c>
      <c r="M45" s="13" t="str">
        <f aca="false">IF(OR(E43="",E44="",E45="",E22="",E22&lt;=0),"",(E43+E44+E45)/E22)</f>
        <v/>
      </c>
      <c r="N45" s="13"/>
      <c r="O45" s="13"/>
      <c r="P45" s="11" t="s">
        <v>78</v>
      </c>
    </row>
    <row r="46" customFormat="false" ht="16.5" hidden="false" customHeight="true" outlineLevel="0" collapsed="false">
      <c r="A46" s="9" t="s">
        <v>83</v>
      </c>
      <c r="B46" s="9" t="s">
        <v>83</v>
      </c>
      <c r="C46" s="9" t="s">
        <v>83</v>
      </c>
      <c r="D46" s="9" t="s">
        <v>83</v>
      </c>
      <c r="E46" s="13" t="str">
        <f aca="false">IF(COUNT(M21,M22,M23,E27)=0,"",SUM(M21,M22,M23,E27))</f>
        <v/>
      </c>
      <c r="F46" s="13"/>
      <c r="G46" s="13"/>
      <c r="H46" s="11" t="s">
        <v>37</v>
      </c>
      <c r="I46" s="9" t="s">
        <v>84</v>
      </c>
      <c r="J46" s="9" t="s">
        <v>84</v>
      </c>
      <c r="K46" s="9" t="s">
        <v>84</v>
      </c>
      <c r="L46" s="9" t="s">
        <v>84</v>
      </c>
      <c r="M46" s="13" t="str">
        <f aca="false">IF(OR(E48="",E22="",E22&lt;=0),"",E48/E22)</f>
        <v/>
      </c>
      <c r="N46" s="13"/>
      <c r="O46" s="13"/>
      <c r="P46" s="11" t="s">
        <v>78</v>
      </c>
    </row>
    <row r="47" customFormat="false" ht="16.5" hidden="false" customHeight="true" outlineLevel="0" collapsed="false">
      <c r="A47" s="9" t="s">
        <v>85</v>
      </c>
      <c r="B47" s="9" t="s">
        <v>85</v>
      </c>
      <c r="C47" s="9" t="s">
        <v>85</v>
      </c>
      <c r="D47" s="9" t="s">
        <v>85</v>
      </c>
      <c r="E47" s="10"/>
      <c r="F47" s="10"/>
      <c r="G47" s="10"/>
      <c r="H47" s="11" t="s">
        <v>37</v>
      </c>
      <c r="I47" s="9" t="s">
        <v>86</v>
      </c>
      <c r="J47" s="9" t="s">
        <v>86</v>
      </c>
      <c r="K47" s="9" t="s">
        <v>86</v>
      </c>
      <c r="L47" s="9" t="s">
        <v>86</v>
      </c>
      <c r="M47" s="13" t="str">
        <f aca="false">IF(OR(M46="",E25="",E25&lt;=0),"",M46/E25)</f>
        <v/>
      </c>
      <c r="N47" s="13"/>
      <c r="O47" s="13"/>
      <c r="P47" s="11" t="s">
        <v>87</v>
      </c>
    </row>
    <row r="48" customFormat="false" ht="16.5" hidden="false" customHeight="true" outlineLevel="0" collapsed="false">
      <c r="A48" s="9" t="s">
        <v>88</v>
      </c>
      <c r="B48" s="9" t="s">
        <v>88</v>
      </c>
      <c r="C48" s="9" t="s">
        <v>88</v>
      </c>
      <c r="D48" s="9" t="s">
        <v>88</v>
      </c>
      <c r="E48" s="13" t="str">
        <f aca="false">IF(COUNT(E43:E46)=0,"",SUM(E43:E46))</f>
        <v/>
      </c>
      <c r="F48" s="13"/>
      <c r="G48" s="13"/>
      <c r="H48" s="11" t="s">
        <v>37</v>
      </c>
      <c r="I48" s="9" t="s">
        <v>89</v>
      </c>
      <c r="J48" s="9" t="s">
        <v>89</v>
      </c>
      <c r="K48" s="9" t="s">
        <v>89</v>
      </c>
      <c r="L48" s="9" t="s">
        <v>89</v>
      </c>
      <c r="M48" s="13" t="str">
        <f aca="false">IF(E47="","",E47)</f>
        <v/>
      </c>
      <c r="N48" s="13"/>
      <c r="O48" s="13"/>
      <c r="P48" s="11" t="s">
        <v>37</v>
      </c>
    </row>
    <row r="49" customFormat="false" ht="16.5" hidden="false" customHeight="true" outlineLevel="0" collapsed="false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</row>
    <row r="50" customFormat="false" ht="16.5" hidden="false" customHeight="true" outlineLevel="0" collapsed="false">
      <c r="A50" s="23" t="s">
        <v>90</v>
      </c>
      <c r="B50" s="23" t="s">
        <v>91</v>
      </c>
      <c r="C50" s="23" t="s">
        <v>91</v>
      </c>
      <c r="D50" s="23" t="s">
        <v>91</v>
      </c>
      <c r="E50" s="23" t="s">
        <v>91</v>
      </c>
      <c r="F50" s="23" t="s">
        <v>91</v>
      </c>
      <c r="G50" s="23" t="s">
        <v>91</v>
      </c>
      <c r="H50" s="23" t="s">
        <v>91</v>
      </c>
      <c r="I50" s="23" t="s">
        <v>91</v>
      </c>
      <c r="J50" s="23" t="s">
        <v>91</v>
      </c>
      <c r="K50" s="23" t="s">
        <v>91</v>
      </c>
      <c r="L50" s="23" t="s">
        <v>91</v>
      </c>
      <c r="M50" s="23" t="s">
        <v>91</v>
      </c>
      <c r="N50" s="23" t="s">
        <v>91</v>
      </c>
      <c r="O50" s="23" t="s">
        <v>91</v>
      </c>
      <c r="P50" s="23" t="s">
        <v>91</v>
      </c>
    </row>
    <row r="51" customFormat="false" ht="16.5" hidden="false" customHeight="true" outlineLevel="0" collapsed="false">
      <c r="A51" s="23" t="s">
        <v>91</v>
      </c>
      <c r="B51" s="23" t="s">
        <v>91</v>
      </c>
      <c r="C51" s="23" t="s">
        <v>91</v>
      </c>
      <c r="D51" s="23" t="s">
        <v>91</v>
      </c>
      <c r="E51" s="23" t="s">
        <v>91</v>
      </c>
      <c r="F51" s="23" t="s">
        <v>91</v>
      </c>
      <c r="G51" s="23" t="s">
        <v>91</v>
      </c>
      <c r="H51" s="23" t="s">
        <v>91</v>
      </c>
      <c r="I51" s="23" t="s">
        <v>91</v>
      </c>
      <c r="J51" s="23" t="s">
        <v>91</v>
      </c>
      <c r="K51" s="23" t="s">
        <v>91</v>
      </c>
      <c r="L51" s="23" t="s">
        <v>91</v>
      </c>
      <c r="M51" s="23" t="s">
        <v>91</v>
      </c>
      <c r="N51" s="23" t="s">
        <v>91</v>
      </c>
      <c r="O51" s="23" t="s">
        <v>91</v>
      </c>
      <c r="P51" s="23" t="s">
        <v>91</v>
      </c>
    </row>
    <row r="52" customFormat="false" ht="16.5" hidden="false" customHeight="true" outlineLevel="0" collapsed="false">
      <c r="A52" s="24" t="s">
        <v>92</v>
      </c>
      <c r="B52" s="24" t="s">
        <v>93</v>
      </c>
      <c r="C52" s="24" t="s">
        <v>93</v>
      </c>
      <c r="D52" s="24" t="s">
        <v>93</v>
      </c>
      <c r="E52" s="24" t="s">
        <v>93</v>
      </c>
      <c r="F52" s="24" t="s">
        <v>93</v>
      </c>
      <c r="G52" s="24" t="s">
        <v>93</v>
      </c>
      <c r="H52" s="24" t="s">
        <v>93</v>
      </c>
      <c r="I52" s="25" t="s">
        <v>94</v>
      </c>
      <c r="J52" s="25" t="s">
        <v>94</v>
      </c>
      <c r="K52" s="25" t="s">
        <v>94</v>
      </c>
      <c r="L52" s="25" t="s">
        <v>94</v>
      </c>
      <c r="M52" s="25" t="s">
        <v>94</v>
      </c>
      <c r="N52" s="25" t="s">
        <v>94</v>
      </c>
      <c r="O52" s="25" t="s">
        <v>94</v>
      </c>
      <c r="P52" s="25" t="s">
        <v>94</v>
      </c>
    </row>
    <row r="53" customFormat="false" ht="6" hidden="false" customHeight="true" outlineLevel="0" collapsed="false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</row>
    <row r="54" customFormat="false" ht="22.5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</row>
    <row r="55" customFormat="false" ht="6" hidden="false" customHeight="true" outlineLevel="0" collapsed="false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</row>
    <row r="56" customFormat="false" ht="20.25" hidden="false" customHeight="true" outlineLevel="0" collapsed="false">
      <c r="A56" s="1" t="s">
        <v>0</v>
      </c>
      <c r="B56" s="1" t="s">
        <v>0</v>
      </c>
      <c r="C56" s="1" t="s">
        <v>0</v>
      </c>
      <c r="D56" s="1" t="s">
        <v>0</v>
      </c>
      <c r="E56" s="1" t="s">
        <v>0</v>
      </c>
      <c r="F56" s="1" t="s">
        <v>0</v>
      </c>
      <c r="G56" s="1" t="s">
        <v>0</v>
      </c>
      <c r="H56" s="1" t="s">
        <v>0</v>
      </c>
      <c r="I56" s="1" t="s">
        <v>0</v>
      </c>
      <c r="J56" s="1" t="s">
        <v>0</v>
      </c>
      <c r="K56" s="1" t="s">
        <v>0</v>
      </c>
      <c r="L56" s="1" t="s">
        <v>0</v>
      </c>
      <c r="M56" s="1" t="s">
        <v>0</v>
      </c>
      <c r="N56" s="1" t="s">
        <v>0</v>
      </c>
      <c r="O56" s="1" t="s">
        <v>0</v>
      </c>
      <c r="P56" s="1" t="s">
        <v>0</v>
      </c>
    </row>
    <row r="57" customFormat="false" ht="20.25" hidden="false" customHeight="true" outlineLevel="0" collapsed="false">
      <c r="A57" s="1" t="s">
        <v>0</v>
      </c>
      <c r="B57" s="1" t="s">
        <v>0</v>
      </c>
      <c r="C57" s="1" t="s">
        <v>0</v>
      </c>
      <c r="D57" s="1" t="s">
        <v>0</v>
      </c>
      <c r="E57" s="1" t="s">
        <v>0</v>
      </c>
      <c r="F57" s="1" t="s">
        <v>0</v>
      </c>
      <c r="G57" s="1" t="s">
        <v>0</v>
      </c>
      <c r="H57" s="1" t="s">
        <v>0</v>
      </c>
      <c r="I57" s="1" t="s">
        <v>0</v>
      </c>
      <c r="J57" s="1" t="s">
        <v>0</v>
      </c>
      <c r="K57" s="1" t="s">
        <v>0</v>
      </c>
      <c r="L57" s="1" t="s">
        <v>0</v>
      </c>
      <c r="M57" s="1" t="s">
        <v>0</v>
      </c>
      <c r="N57" s="1" t="s">
        <v>0</v>
      </c>
      <c r="O57" s="1" t="s">
        <v>0</v>
      </c>
      <c r="P57" s="1" t="s">
        <v>0</v>
      </c>
    </row>
    <row r="58" customFormat="false" ht="16.5" hidden="false" customHeight="true" outlineLevel="0" collapsed="false">
      <c r="A58" s="2" t="s">
        <v>95</v>
      </c>
      <c r="B58" s="2" t="s">
        <v>96</v>
      </c>
      <c r="C58" s="2" t="s">
        <v>96</v>
      </c>
      <c r="D58" s="2" t="s">
        <v>96</v>
      </c>
      <c r="E58" s="2" t="s">
        <v>96</v>
      </c>
      <c r="F58" s="2" t="s">
        <v>96</v>
      </c>
      <c r="G58" s="2" t="s">
        <v>96</v>
      </c>
      <c r="H58" s="2" t="s">
        <v>96</v>
      </c>
      <c r="I58" s="2" t="s">
        <v>96</v>
      </c>
      <c r="J58" s="2" t="s">
        <v>96</v>
      </c>
      <c r="K58" s="2" t="s">
        <v>96</v>
      </c>
      <c r="L58" s="2" t="s">
        <v>96</v>
      </c>
      <c r="M58" s="2" t="s">
        <v>96</v>
      </c>
      <c r="N58" s="2" t="s">
        <v>96</v>
      </c>
      <c r="O58" s="2" t="s">
        <v>96</v>
      </c>
      <c r="P58" s="2" t="s">
        <v>96</v>
      </c>
    </row>
    <row r="59" customFormat="false" ht="22.5" hidden="false" customHeight="true" outlineLevel="0" collapsed="false">
      <c r="A59" s="3" t="str">
        <f aca="false">IF(E71="","ЭТАП 3 — расчётные поля заполняются автоматически",IF(OR(E71&lt;M15,E72&lt;E73,E72&lt;0,E73&lt;0),"ОШИБКА: проверьте исходные данные","ЭТАП 3 — расчёт выполнен; сопоставьте с утверждённой картой глушения"))</f>
        <v>ЭТАП 3 — расчётные поля заполняются автоматически</v>
      </c>
      <c r="B59" s="3" t="s">
        <v>97</v>
      </c>
      <c r="C59" s="3" t="s">
        <v>97</v>
      </c>
      <c r="D59" s="3" t="s">
        <v>97</v>
      </c>
      <c r="E59" s="3" t="s">
        <v>97</v>
      </c>
      <c r="F59" s="3" t="s">
        <v>97</v>
      </c>
      <c r="G59" s="3" t="s">
        <v>97</v>
      </c>
      <c r="H59" s="3" t="s">
        <v>97</v>
      </c>
      <c r="I59" s="3" t="s">
        <v>97</v>
      </c>
      <c r="J59" s="3" t="s">
        <v>97</v>
      </c>
      <c r="K59" s="3" t="s">
        <v>97</v>
      </c>
      <c r="L59" s="3" t="s">
        <v>97</v>
      </c>
      <c r="M59" s="3" t="s">
        <v>97</v>
      </c>
      <c r="N59" s="3" t="s">
        <v>97</v>
      </c>
      <c r="O59" s="3" t="s">
        <v>97</v>
      </c>
      <c r="P59" s="3" t="s">
        <v>97</v>
      </c>
    </row>
    <row r="60" customFormat="false" ht="16.5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</row>
    <row r="61" customFormat="false" ht="16.5" hidden="false" customHeight="true" outlineLevel="0" collapsed="false">
      <c r="A61" s="8" t="s">
        <v>98</v>
      </c>
      <c r="B61" s="8" t="s">
        <v>98</v>
      </c>
      <c r="C61" s="8" t="s">
        <v>98</v>
      </c>
      <c r="D61" s="8" t="s">
        <v>98</v>
      </c>
      <c r="E61" s="8" t="s">
        <v>98</v>
      </c>
      <c r="F61" s="8" t="s">
        <v>98</v>
      </c>
      <c r="G61" s="8" t="s">
        <v>98</v>
      </c>
      <c r="H61" s="8" t="s">
        <v>98</v>
      </c>
      <c r="I61" s="8" t="s">
        <v>98</v>
      </c>
      <c r="J61" s="8" t="s">
        <v>98</v>
      </c>
      <c r="K61" s="8" t="s">
        <v>98</v>
      </c>
      <c r="L61" s="8" t="s">
        <v>98</v>
      </c>
      <c r="M61" s="8" t="s">
        <v>98</v>
      </c>
      <c r="N61" s="8" t="s">
        <v>98</v>
      </c>
      <c r="O61" s="8" t="s">
        <v>98</v>
      </c>
      <c r="P61" s="8" t="s">
        <v>98</v>
      </c>
    </row>
    <row r="62" customFormat="false" ht="16.5" hidden="false" customHeight="true" outlineLevel="0" collapsed="false">
      <c r="A62" s="6" t="s">
        <v>9</v>
      </c>
      <c r="B62" s="6" t="s">
        <v>9</v>
      </c>
      <c r="C62" s="6" t="s">
        <v>9</v>
      </c>
      <c r="D62" s="6" t="s">
        <v>9</v>
      </c>
      <c r="E62" s="6" t="s">
        <v>10</v>
      </c>
      <c r="F62" s="6" t="s">
        <v>10</v>
      </c>
      <c r="G62" s="6" t="s">
        <v>10</v>
      </c>
      <c r="H62" s="6" t="s">
        <v>11</v>
      </c>
      <c r="I62" s="6" t="s">
        <v>9</v>
      </c>
      <c r="J62" s="6" t="s">
        <v>9</v>
      </c>
      <c r="K62" s="6" t="s">
        <v>9</v>
      </c>
      <c r="L62" s="6" t="s">
        <v>9</v>
      </c>
      <c r="M62" s="6" t="s">
        <v>10</v>
      </c>
      <c r="N62" s="6" t="s">
        <v>10</v>
      </c>
      <c r="O62" s="6" t="s">
        <v>10</v>
      </c>
      <c r="P62" s="6" t="s">
        <v>11</v>
      </c>
    </row>
    <row r="63" customFormat="false" ht="22.5" hidden="false" customHeight="true" outlineLevel="0" collapsed="false">
      <c r="A63" s="9" t="s">
        <v>99</v>
      </c>
      <c r="B63" s="9" t="s">
        <v>99</v>
      </c>
      <c r="C63" s="9" t="s">
        <v>99</v>
      </c>
      <c r="D63" s="9" t="s">
        <v>99</v>
      </c>
      <c r="E63" s="10"/>
      <c r="F63" s="10"/>
      <c r="G63" s="10"/>
      <c r="H63" s="11" t="s">
        <v>21</v>
      </c>
      <c r="I63" s="9" t="s">
        <v>19</v>
      </c>
      <c r="J63" s="9" t="s">
        <v>19</v>
      </c>
      <c r="K63" s="9" t="s">
        <v>19</v>
      </c>
      <c r="L63" s="9" t="s">
        <v>19</v>
      </c>
      <c r="M63" s="13" t="str">
        <f aca="false">IF(M12="","",M12)</f>
        <v/>
      </c>
      <c r="N63" s="13"/>
      <c r="O63" s="13"/>
      <c r="P63" s="11" t="s">
        <v>13</v>
      </c>
    </row>
    <row r="64" customFormat="false" ht="22.5" hidden="false" customHeight="true" outlineLevel="0" collapsed="false">
      <c r="A64" s="9" t="s">
        <v>100</v>
      </c>
      <c r="B64" s="9" t="s">
        <v>100</v>
      </c>
      <c r="C64" s="9" t="s">
        <v>100</v>
      </c>
      <c r="D64" s="9" t="s">
        <v>100</v>
      </c>
      <c r="E64" s="10"/>
      <c r="F64" s="10"/>
      <c r="G64" s="10"/>
      <c r="H64" s="11" t="s">
        <v>21</v>
      </c>
      <c r="I64" s="9" t="s">
        <v>22</v>
      </c>
      <c r="J64" s="9" t="s">
        <v>22</v>
      </c>
      <c r="K64" s="9" t="s">
        <v>22</v>
      </c>
      <c r="L64" s="9" t="s">
        <v>22</v>
      </c>
      <c r="M64" s="13" t="str">
        <f aca="false">IF(M13="","",M13)</f>
        <v/>
      </c>
      <c r="N64" s="13"/>
      <c r="O64" s="13"/>
      <c r="P64" s="11" t="s">
        <v>13</v>
      </c>
    </row>
    <row r="65" customFormat="false" ht="22.5" hidden="false" customHeight="true" outlineLevel="0" collapsed="false">
      <c r="A65" s="9" t="s">
        <v>101</v>
      </c>
      <c r="B65" s="9" t="s">
        <v>101</v>
      </c>
      <c r="C65" s="9" t="s">
        <v>101</v>
      </c>
      <c r="D65" s="9" t="s">
        <v>101</v>
      </c>
      <c r="E65" s="10"/>
      <c r="F65" s="10"/>
      <c r="G65" s="10"/>
      <c r="H65" s="11" t="s">
        <v>37</v>
      </c>
      <c r="I65" s="9" t="s">
        <v>102</v>
      </c>
      <c r="J65" s="9" t="s">
        <v>102</v>
      </c>
      <c r="K65" s="9" t="s">
        <v>102</v>
      </c>
      <c r="L65" s="9" t="s">
        <v>102</v>
      </c>
      <c r="M65" s="10"/>
      <c r="N65" s="10"/>
      <c r="O65" s="10"/>
      <c r="P65" s="11" t="s">
        <v>32</v>
      </c>
    </row>
    <row r="66" customFormat="false" ht="22.5" hidden="false" customHeight="true" outlineLevel="0" collapsed="false">
      <c r="A66" s="9" t="s">
        <v>103</v>
      </c>
      <c r="B66" s="9" t="s">
        <v>103</v>
      </c>
      <c r="C66" s="9" t="s">
        <v>103</v>
      </c>
      <c r="D66" s="9" t="s">
        <v>103</v>
      </c>
      <c r="E66" s="10"/>
      <c r="F66" s="10"/>
      <c r="G66" s="10"/>
      <c r="H66" s="11" t="s">
        <v>87</v>
      </c>
      <c r="I66" s="9" t="s">
        <v>104</v>
      </c>
      <c r="J66" s="9" t="s">
        <v>104</v>
      </c>
      <c r="K66" s="9" t="s">
        <v>104</v>
      </c>
      <c r="L66" s="9" t="s">
        <v>104</v>
      </c>
      <c r="M66" s="13" t="str">
        <f aca="false">IF(E65="","",E65)</f>
        <v/>
      </c>
      <c r="N66" s="13"/>
      <c r="O66" s="13"/>
      <c r="P66" s="11" t="s">
        <v>37</v>
      </c>
    </row>
    <row r="67" customFormat="false" ht="22.5" hidden="false" customHeight="true" outlineLevel="0" collapsed="false">
      <c r="A67" s="9" t="s">
        <v>105</v>
      </c>
      <c r="B67" s="9" t="s">
        <v>105</v>
      </c>
      <c r="C67" s="9" t="s">
        <v>105</v>
      </c>
      <c r="D67" s="9" t="s">
        <v>105</v>
      </c>
      <c r="E67" s="13" t="str">
        <f aca="false">IF(M15="","",M15)</f>
        <v/>
      </c>
      <c r="F67" s="13"/>
      <c r="G67" s="13"/>
      <c r="H67" s="11" t="s">
        <v>18</v>
      </c>
      <c r="I67" s="9" t="s">
        <v>106</v>
      </c>
      <c r="J67" s="9" t="s">
        <v>106</v>
      </c>
      <c r="K67" s="9" t="s">
        <v>106</v>
      </c>
      <c r="L67" s="9" t="s">
        <v>106</v>
      </c>
      <c r="M67" s="10"/>
      <c r="N67" s="10"/>
      <c r="O67" s="10"/>
      <c r="P67" s="11" t="s">
        <v>32</v>
      </c>
    </row>
    <row r="68" customFormat="false" ht="16.5" hidden="false" customHeight="true" outlineLevel="0" collapsed="false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customFormat="false" ht="16.5" hidden="false" customHeight="true" outlineLevel="0" collapsed="false">
      <c r="A69" s="8" t="s">
        <v>107</v>
      </c>
      <c r="B69" s="8" t="s">
        <v>107</v>
      </c>
      <c r="C69" s="8" t="s">
        <v>107</v>
      </c>
      <c r="D69" s="8" t="s">
        <v>107</v>
      </c>
      <c r="E69" s="8" t="s">
        <v>107</v>
      </c>
      <c r="F69" s="8" t="s">
        <v>107</v>
      </c>
      <c r="G69" s="8" t="s">
        <v>107</v>
      </c>
      <c r="H69" s="8" t="s">
        <v>107</v>
      </c>
      <c r="I69" s="8" t="s">
        <v>107</v>
      </c>
      <c r="J69" s="8" t="s">
        <v>107</v>
      </c>
      <c r="K69" s="8" t="s">
        <v>107</v>
      </c>
      <c r="L69" s="8" t="s">
        <v>107</v>
      </c>
      <c r="M69" s="8" t="s">
        <v>107</v>
      </c>
      <c r="N69" s="8" t="s">
        <v>107</v>
      </c>
      <c r="O69" s="8" t="s">
        <v>107</v>
      </c>
      <c r="P69" s="8" t="s">
        <v>107</v>
      </c>
    </row>
    <row r="70" customFormat="false" ht="16.5" hidden="false" customHeight="true" outlineLevel="0" collapsed="false">
      <c r="A70" s="6" t="s">
        <v>9</v>
      </c>
      <c r="B70" s="6" t="s">
        <v>9</v>
      </c>
      <c r="C70" s="6" t="s">
        <v>9</v>
      </c>
      <c r="D70" s="6" t="s">
        <v>9</v>
      </c>
      <c r="E70" s="6" t="s">
        <v>10</v>
      </c>
      <c r="F70" s="6" t="s">
        <v>10</v>
      </c>
      <c r="G70" s="6" t="s">
        <v>10</v>
      </c>
      <c r="H70" s="6" t="s">
        <v>11</v>
      </c>
      <c r="I70" s="6" t="s">
        <v>9</v>
      </c>
      <c r="J70" s="6" t="s">
        <v>9</v>
      </c>
      <c r="K70" s="6" t="s">
        <v>9</v>
      </c>
      <c r="L70" s="6" t="s">
        <v>9</v>
      </c>
      <c r="M70" s="6" t="s">
        <v>10</v>
      </c>
      <c r="N70" s="6" t="s">
        <v>10</v>
      </c>
      <c r="O70" s="6" t="s">
        <v>10</v>
      </c>
      <c r="P70" s="6" t="s">
        <v>11</v>
      </c>
    </row>
    <row r="71" customFormat="false" ht="22.5" hidden="false" customHeight="true" outlineLevel="0" collapsed="false">
      <c r="A71" s="9" t="s">
        <v>108</v>
      </c>
      <c r="B71" s="9" t="s">
        <v>108</v>
      </c>
      <c r="C71" s="9" t="s">
        <v>108</v>
      </c>
      <c r="D71" s="9" t="s">
        <v>108</v>
      </c>
      <c r="E71" s="14" t="str">
        <f aca="false">IF(OR(M15="",E63="",M13="",M13&lt;=0),"",M15+E63/(0.0981*M13))</f>
        <v/>
      </c>
      <c r="F71" s="14"/>
      <c r="G71" s="14"/>
      <c r="H71" s="11" t="s">
        <v>18</v>
      </c>
      <c r="I71" s="9" t="s">
        <v>109</v>
      </c>
      <c r="J71" s="9" t="s">
        <v>109</v>
      </c>
      <c r="K71" s="9" t="s">
        <v>109</v>
      </c>
      <c r="L71" s="9" t="s">
        <v>109</v>
      </c>
      <c r="M71" s="13" t="str">
        <f aca="false">IF(E14="","",E14)</f>
        <v/>
      </c>
      <c r="N71" s="13"/>
      <c r="O71" s="13"/>
      <c r="P71" s="11" t="s">
        <v>21</v>
      </c>
    </row>
    <row r="72" customFormat="false" ht="22.5" hidden="false" customHeight="true" outlineLevel="0" collapsed="false">
      <c r="A72" s="9" t="s">
        <v>110</v>
      </c>
      <c r="B72" s="9" t="s">
        <v>110</v>
      </c>
      <c r="C72" s="9" t="s">
        <v>110</v>
      </c>
      <c r="D72" s="9" t="s">
        <v>110</v>
      </c>
      <c r="E72" s="13" t="str">
        <f aca="false">IF(OR(E24="",E63=""),"",E24+E63)</f>
        <v/>
      </c>
      <c r="F72" s="13"/>
      <c r="G72" s="13"/>
      <c r="H72" s="11" t="s">
        <v>21</v>
      </c>
      <c r="I72" s="9" t="s">
        <v>111</v>
      </c>
      <c r="J72" s="9" t="s">
        <v>111</v>
      </c>
      <c r="K72" s="9" t="s">
        <v>111</v>
      </c>
      <c r="L72" s="9" t="s">
        <v>111</v>
      </c>
      <c r="M72" s="13" t="str">
        <f aca="false">IF(OR(M15="",E11="",E64=""),"",M15*0.0981*E11+E64)</f>
        <v/>
      </c>
      <c r="N72" s="13"/>
      <c r="O72" s="13"/>
      <c r="P72" s="11" t="s">
        <v>21</v>
      </c>
    </row>
    <row r="73" customFormat="false" ht="22.5" hidden="false" customHeight="true" outlineLevel="0" collapsed="false">
      <c r="A73" s="9" t="s">
        <v>112</v>
      </c>
      <c r="B73" s="9" t="s">
        <v>112</v>
      </c>
      <c r="C73" s="9" t="s">
        <v>112</v>
      </c>
      <c r="D73" s="9" t="s">
        <v>112</v>
      </c>
      <c r="E73" s="13" t="str">
        <f aca="false">IF(OR(E71="",M15="",M15&lt;=0,E24=""),"",E71/M15*E24)</f>
        <v/>
      </c>
      <c r="F73" s="13"/>
      <c r="G73" s="13"/>
      <c r="H73" s="11" t="s">
        <v>21</v>
      </c>
      <c r="I73" s="9" t="s">
        <v>113</v>
      </c>
      <c r="J73" s="9" t="s">
        <v>114</v>
      </c>
      <c r="K73" s="9" t="s">
        <v>114</v>
      </c>
      <c r="L73" s="9" t="s">
        <v>114</v>
      </c>
      <c r="M73" s="14" t="str">
        <f aca="false">IF(OR(E71="",M15=""),"",MAX(0,E71-M15))</f>
        <v/>
      </c>
      <c r="N73" s="14"/>
      <c r="O73" s="14"/>
      <c r="P73" s="11" t="s">
        <v>18</v>
      </c>
    </row>
    <row r="74" customFormat="false" ht="22.5" hidden="false" customHeight="true" outlineLevel="0" collapsed="false">
      <c r="A74" s="9" t="s">
        <v>115</v>
      </c>
      <c r="B74" s="9" t="s">
        <v>115</v>
      </c>
      <c r="C74" s="9" t="s">
        <v>115</v>
      </c>
      <c r="D74" s="9" t="s">
        <v>115</v>
      </c>
      <c r="E74" s="13" t="str">
        <f aca="false">IF(OR(M15="",M13="",E63=""),"",M15*0.0981*M13+E63)</f>
        <v/>
      </c>
      <c r="F74" s="13"/>
      <c r="G74" s="13"/>
      <c r="H74" s="11" t="s">
        <v>21</v>
      </c>
      <c r="I74" s="9" t="s">
        <v>116</v>
      </c>
      <c r="J74" s="9" t="s">
        <v>117</v>
      </c>
      <c r="K74" s="9" t="s">
        <v>117</v>
      </c>
      <c r="L74" s="9" t="s">
        <v>117</v>
      </c>
      <c r="M74" s="13" t="str">
        <f aca="false">IF(E47="","",E47)</f>
        <v/>
      </c>
      <c r="N74" s="13"/>
      <c r="O74" s="13"/>
      <c r="P74" s="11" t="s">
        <v>37</v>
      </c>
    </row>
    <row r="75" customFormat="false" ht="16.5" hidden="false" customHeight="true" outlineLevel="0" collapsed="false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customFormat="false" ht="16.5" hidden="false" customHeight="true" outlineLevel="0" collapsed="false">
      <c r="A76" s="8" t="s">
        <v>118</v>
      </c>
      <c r="B76" s="8" t="s">
        <v>118</v>
      </c>
      <c r="C76" s="8" t="s">
        <v>118</v>
      </c>
      <c r="D76" s="8" t="s">
        <v>118</v>
      </c>
      <c r="E76" s="8" t="s">
        <v>118</v>
      </c>
      <c r="F76" s="8" t="s">
        <v>118</v>
      </c>
      <c r="G76" s="8" t="s">
        <v>118</v>
      </c>
      <c r="H76" s="8" t="s">
        <v>118</v>
      </c>
      <c r="I76" s="8" t="s">
        <v>118</v>
      </c>
      <c r="J76" s="8" t="s">
        <v>118</v>
      </c>
      <c r="K76" s="8" t="s">
        <v>118</v>
      </c>
      <c r="L76" s="8" t="s">
        <v>118</v>
      </c>
      <c r="M76" s="8" t="s">
        <v>118</v>
      </c>
      <c r="N76" s="8" t="s">
        <v>118</v>
      </c>
      <c r="O76" s="8" t="s">
        <v>118</v>
      </c>
      <c r="P76" s="8" t="s">
        <v>118</v>
      </c>
    </row>
    <row r="77" customFormat="false" ht="16.5" hidden="false" customHeight="true" outlineLevel="0" collapsed="false">
      <c r="A77" s="15" t="s">
        <v>119</v>
      </c>
      <c r="B77" s="15" t="s">
        <v>119</v>
      </c>
      <c r="C77" s="15" t="s">
        <v>65</v>
      </c>
      <c r="D77" s="15" t="s">
        <v>65</v>
      </c>
      <c r="E77" s="15" t="s">
        <v>120</v>
      </c>
      <c r="F77" s="15" t="s">
        <v>120</v>
      </c>
      <c r="G77" s="15" t="s">
        <v>120</v>
      </c>
      <c r="H77" s="15" t="s">
        <v>121</v>
      </c>
      <c r="I77" s="15" t="s">
        <v>121</v>
      </c>
      <c r="J77" s="15" t="s">
        <v>121</v>
      </c>
      <c r="K77" s="15" t="s">
        <v>122</v>
      </c>
      <c r="L77" s="15" t="s">
        <v>122</v>
      </c>
      <c r="M77" s="15" t="s">
        <v>122</v>
      </c>
      <c r="N77" s="15" t="s">
        <v>123</v>
      </c>
      <c r="O77" s="15" t="s">
        <v>123</v>
      </c>
      <c r="P77" s="15" t="s">
        <v>123</v>
      </c>
    </row>
    <row r="78" customFormat="false" ht="16.5" hidden="false" customHeight="true" outlineLevel="0" collapsed="false">
      <c r="A78" s="15" t="s">
        <v>119</v>
      </c>
      <c r="B78" s="15" t="s">
        <v>119</v>
      </c>
      <c r="C78" s="15" t="s">
        <v>65</v>
      </c>
      <c r="D78" s="15" t="s">
        <v>65</v>
      </c>
      <c r="E78" s="15" t="s">
        <v>120</v>
      </c>
      <c r="F78" s="15" t="s">
        <v>120</v>
      </c>
      <c r="G78" s="15" t="s">
        <v>120</v>
      </c>
      <c r="H78" s="15" t="s">
        <v>121</v>
      </c>
      <c r="I78" s="15" t="s">
        <v>121</v>
      </c>
      <c r="J78" s="15" t="s">
        <v>121</v>
      </c>
      <c r="K78" s="15" t="s">
        <v>122</v>
      </c>
      <c r="L78" s="15" t="s">
        <v>122</v>
      </c>
      <c r="M78" s="15" t="s">
        <v>122</v>
      </c>
      <c r="N78" s="15" t="s">
        <v>123</v>
      </c>
      <c r="O78" s="15" t="s">
        <v>123</v>
      </c>
      <c r="P78" s="15" t="s">
        <v>123</v>
      </c>
    </row>
    <row r="79" customFormat="false" ht="16.5" hidden="false" customHeight="true" outlineLevel="0" collapsed="false">
      <c r="A79" s="26" t="n">
        <v>0</v>
      </c>
      <c r="B79" s="26" t="s">
        <v>124</v>
      </c>
      <c r="C79" s="22" t="str">
        <f aca="false">IF(COUNT(M43)=0,"",ROUND(M43*A79/10,0))</f>
        <v/>
      </c>
      <c r="D79" s="22"/>
      <c r="E79" s="22" t="str">
        <f aca="false">IF(COUNT(E72,E73)&lt;2,"",E72-(E72-E73)*A79/10)</f>
        <v/>
      </c>
      <c r="F79" s="22"/>
      <c r="G79" s="22"/>
      <c r="H79" s="5"/>
      <c r="I79" s="5"/>
      <c r="J79" s="5"/>
      <c r="K79" s="22" t="str">
        <f aca="false">IF(COUNT(C79,E22)&lt;2,"",C79*E22)</f>
        <v/>
      </c>
      <c r="L79" s="22"/>
      <c r="M79" s="22"/>
      <c r="N79" s="5"/>
      <c r="O79" s="5"/>
      <c r="P79" s="5"/>
    </row>
    <row r="80" customFormat="false" ht="16.5" hidden="false" customHeight="true" outlineLevel="0" collapsed="false">
      <c r="A80" s="26" t="n">
        <v>1</v>
      </c>
      <c r="B80" s="26" t="s">
        <v>125</v>
      </c>
      <c r="C80" s="22" t="str">
        <f aca="false">IF(COUNT(M43)=0,"",ROUND(M43*A80/10,0))</f>
        <v/>
      </c>
      <c r="D80" s="22"/>
      <c r="E80" s="22" t="str">
        <f aca="false">IF(COUNT(E72,E73)&lt;2,"",E72-(E72-E73)*A80/10)</f>
        <v/>
      </c>
      <c r="F80" s="22"/>
      <c r="G80" s="22"/>
      <c r="H80" s="5"/>
      <c r="I80" s="5"/>
      <c r="J80" s="5"/>
      <c r="K80" s="22" t="str">
        <f aca="false">IF(COUNT(C80,E22)&lt;2,"",C80*E22)</f>
        <v/>
      </c>
      <c r="L80" s="22"/>
      <c r="M80" s="22"/>
      <c r="N80" s="5"/>
      <c r="O80" s="5"/>
      <c r="P80" s="5"/>
    </row>
    <row r="81" customFormat="false" ht="16.5" hidden="false" customHeight="true" outlineLevel="0" collapsed="false">
      <c r="A81" s="26" t="n">
        <v>2</v>
      </c>
      <c r="B81" s="26" t="s">
        <v>126</v>
      </c>
      <c r="C81" s="22" t="str">
        <f aca="false">IF(COUNT(M43)=0,"",ROUND(M43*A81/10,0))</f>
        <v/>
      </c>
      <c r="D81" s="22"/>
      <c r="E81" s="22" t="str">
        <f aca="false">IF(COUNT(E72,E73)&lt;2,"",E72-(E72-E73)*A81/10)</f>
        <v/>
      </c>
      <c r="F81" s="22"/>
      <c r="G81" s="22"/>
      <c r="H81" s="5"/>
      <c r="I81" s="5"/>
      <c r="J81" s="5"/>
      <c r="K81" s="22" t="str">
        <f aca="false">IF(COUNT(C81,E22)&lt;2,"",C81*E22)</f>
        <v/>
      </c>
      <c r="L81" s="22"/>
      <c r="M81" s="22"/>
      <c r="N81" s="5"/>
      <c r="O81" s="5"/>
      <c r="P81" s="5"/>
    </row>
    <row r="82" customFormat="false" ht="16.5" hidden="false" customHeight="true" outlineLevel="0" collapsed="false">
      <c r="A82" s="26" t="n">
        <v>3</v>
      </c>
      <c r="B82" s="26" t="s">
        <v>127</v>
      </c>
      <c r="C82" s="22" t="str">
        <f aca="false">IF(COUNT(M43)=0,"",ROUND(M43*A82/10,0))</f>
        <v/>
      </c>
      <c r="D82" s="22"/>
      <c r="E82" s="22" t="str">
        <f aca="false">IF(COUNT(E72,E73)&lt;2,"",E72-(E72-E73)*A82/10)</f>
        <v/>
      </c>
      <c r="F82" s="22"/>
      <c r="G82" s="22"/>
      <c r="H82" s="5"/>
      <c r="I82" s="5"/>
      <c r="J82" s="5"/>
      <c r="K82" s="22" t="str">
        <f aca="false">IF(COUNT(C82,E22)&lt;2,"",C82*E22)</f>
        <v/>
      </c>
      <c r="L82" s="22"/>
      <c r="M82" s="22"/>
      <c r="N82" s="5"/>
      <c r="O82" s="5"/>
      <c r="P82" s="5"/>
    </row>
    <row r="83" customFormat="false" ht="16.5" hidden="false" customHeight="true" outlineLevel="0" collapsed="false">
      <c r="A83" s="26" t="n">
        <v>4</v>
      </c>
      <c r="B83" s="26" t="s">
        <v>128</v>
      </c>
      <c r="C83" s="22" t="str">
        <f aca="false">IF(COUNT(M43)=0,"",ROUND(M43*A83/10,0))</f>
        <v/>
      </c>
      <c r="D83" s="22"/>
      <c r="E83" s="22" t="str">
        <f aca="false">IF(COUNT(E72,E73)&lt;2,"",E72-(E72-E73)*A83/10)</f>
        <v/>
      </c>
      <c r="F83" s="22"/>
      <c r="G83" s="22"/>
      <c r="H83" s="5"/>
      <c r="I83" s="5"/>
      <c r="J83" s="5"/>
      <c r="K83" s="22" t="str">
        <f aca="false">IF(COUNT(C83,E22)&lt;2,"",C83*E22)</f>
        <v/>
      </c>
      <c r="L83" s="22"/>
      <c r="M83" s="22"/>
      <c r="N83" s="5"/>
      <c r="O83" s="5"/>
      <c r="P83" s="5"/>
    </row>
    <row r="84" customFormat="false" ht="16.5" hidden="false" customHeight="true" outlineLevel="0" collapsed="false">
      <c r="A84" s="26" t="n">
        <v>5</v>
      </c>
      <c r="B84" s="26" t="s">
        <v>129</v>
      </c>
      <c r="C84" s="22" t="str">
        <f aca="false">IF(COUNT(M43)=0,"",ROUND(M43*A84/10,0))</f>
        <v/>
      </c>
      <c r="D84" s="22"/>
      <c r="E84" s="22" t="str">
        <f aca="false">IF(COUNT(E72,E73)&lt;2,"",E72-(E72-E73)*A84/10)</f>
        <v/>
      </c>
      <c r="F84" s="22"/>
      <c r="G84" s="22"/>
      <c r="H84" s="5"/>
      <c r="I84" s="5"/>
      <c r="J84" s="5"/>
      <c r="K84" s="22" t="str">
        <f aca="false">IF(COUNT(C84,E22)&lt;2,"",C84*E22)</f>
        <v/>
      </c>
      <c r="L84" s="22"/>
      <c r="M84" s="22"/>
      <c r="N84" s="5"/>
      <c r="O84" s="5"/>
      <c r="P84" s="5"/>
    </row>
    <row r="85" customFormat="false" ht="16.5" hidden="false" customHeight="true" outlineLevel="0" collapsed="false">
      <c r="A85" s="26" t="n">
        <v>6</v>
      </c>
      <c r="B85" s="26" t="s">
        <v>130</v>
      </c>
      <c r="C85" s="22" t="str">
        <f aca="false">IF(COUNT(M43)=0,"",ROUND(M43*A85/10,0))</f>
        <v/>
      </c>
      <c r="D85" s="22"/>
      <c r="E85" s="22" t="str">
        <f aca="false">IF(COUNT(E72,E73)&lt;2,"",E72-(E72-E73)*A85/10)</f>
        <v/>
      </c>
      <c r="F85" s="22"/>
      <c r="G85" s="22"/>
      <c r="H85" s="5"/>
      <c r="I85" s="5"/>
      <c r="J85" s="5"/>
      <c r="K85" s="22" t="str">
        <f aca="false">IF(COUNT(C85,E22)&lt;2,"",C85*E22)</f>
        <v/>
      </c>
      <c r="L85" s="22"/>
      <c r="M85" s="22"/>
      <c r="N85" s="5"/>
      <c r="O85" s="5"/>
      <c r="P85" s="5"/>
    </row>
    <row r="86" customFormat="false" ht="16.5" hidden="false" customHeight="true" outlineLevel="0" collapsed="false">
      <c r="A86" s="26" t="n">
        <v>7</v>
      </c>
      <c r="B86" s="26" t="s">
        <v>131</v>
      </c>
      <c r="C86" s="22" t="str">
        <f aca="false">IF(COUNT(M43)=0,"",ROUND(M43*A86/10,0))</f>
        <v/>
      </c>
      <c r="D86" s="22"/>
      <c r="E86" s="22" t="str">
        <f aca="false">IF(COUNT(E72,E73)&lt;2,"",E72-(E72-E73)*A86/10)</f>
        <v/>
      </c>
      <c r="F86" s="22"/>
      <c r="G86" s="22"/>
      <c r="H86" s="5"/>
      <c r="I86" s="5"/>
      <c r="J86" s="5"/>
      <c r="K86" s="22" t="str">
        <f aca="false">IF(COUNT(C86,E22)&lt;2,"",C86*E22)</f>
        <v/>
      </c>
      <c r="L86" s="22"/>
      <c r="M86" s="22"/>
      <c r="N86" s="5"/>
      <c r="O86" s="5"/>
      <c r="P86" s="5"/>
    </row>
    <row r="87" customFormat="false" ht="16.5" hidden="false" customHeight="true" outlineLevel="0" collapsed="false">
      <c r="A87" s="26" t="n">
        <v>8</v>
      </c>
      <c r="B87" s="26" t="s">
        <v>132</v>
      </c>
      <c r="C87" s="22" t="str">
        <f aca="false">IF(COUNT(M43)=0,"",ROUND(M43*A87/10,0))</f>
        <v/>
      </c>
      <c r="D87" s="22"/>
      <c r="E87" s="22" t="str">
        <f aca="false">IF(COUNT(E72,E73)&lt;2,"",E72-(E72-E73)*A87/10)</f>
        <v/>
      </c>
      <c r="F87" s="22"/>
      <c r="G87" s="22"/>
      <c r="H87" s="5"/>
      <c r="I87" s="5"/>
      <c r="J87" s="5"/>
      <c r="K87" s="22" t="str">
        <f aca="false">IF(COUNT(C87,E22)&lt;2,"",C87*E22)</f>
        <v/>
      </c>
      <c r="L87" s="22"/>
      <c r="M87" s="22"/>
      <c r="N87" s="5"/>
      <c r="O87" s="5"/>
      <c r="P87" s="5"/>
    </row>
    <row r="88" customFormat="false" ht="16.5" hidden="false" customHeight="true" outlineLevel="0" collapsed="false">
      <c r="A88" s="26" t="n">
        <v>9</v>
      </c>
      <c r="B88" s="26" t="s">
        <v>133</v>
      </c>
      <c r="C88" s="22" t="str">
        <f aca="false">IF(COUNT(M43)=0,"",ROUND(M43*A88/10,0))</f>
        <v/>
      </c>
      <c r="D88" s="22"/>
      <c r="E88" s="22" t="str">
        <f aca="false">IF(COUNT(E72,E73)&lt;2,"",E72-(E72-E73)*A88/10)</f>
        <v/>
      </c>
      <c r="F88" s="22"/>
      <c r="G88" s="22"/>
      <c r="H88" s="5"/>
      <c r="I88" s="5"/>
      <c r="J88" s="5"/>
      <c r="K88" s="22" t="str">
        <f aca="false">IF(COUNT(C88,E22)&lt;2,"",C88*E22)</f>
        <v/>
      </c>
      <c r="L88" s="22"/>
      <c r="M88" s="22"/>
      <c r="N88" s="5"/>
      <c r="O88" s="5"/>
      <c r="P88" s="5"/>
    </row>
    <row r="89" customFormat="false" ht="16.5" hidden="false" customHeight="true" outlineLevel="0" collapsed="false">
      <c r="A89" s="26" t="n">
        <v>10</v>
      </c>
      <c r="B89" s="26" t="s">
        <v>134</v>
      </c>
      <c r="C89" s="22" t="str">
        <f aca="false">IF(COUNT(M43)=0,"",ROUND(M43*A89/10,0))</f>
        <v/>
      </c>
      <c r="D89" s="22"/>
      <c r="E89" s="22" t="str">
        <f aca="false">IF(COUNT(E72,E73)&lt;2,"",E72-(E72-E73)*A89/10)</f>
        <v/>
      </c>
      <c r="F89" s="22"/>
      <c r="G89" s="22"/>
      <c r="H89" s="5"/>
      <c r="I89" s="5"/>
      <c r="J89" s="5"/>
      <c r="K89" s="22" t="str">
        <f aca="false">IF(COUNT(C89,E22)&lt;2,"",C89*E22)</f>
        <v/>
      </c>
      <c r="L89" s="22"/>
      <c r="M89" s="22"/>
      <c r="N89" s="5"/>
      <c r="O89" s="5"/>
      <c r="P89" s="5"/>
    </row>
    <row r="90" customFormat="false" ht="16.5" hidden="false" customHeight="true" outlineLevel="0" collapsed="false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</row>
    <row r="91" customFormat="false" ht="16.5" hidden="false" customHeight="true" outlineLevel="0" collapsed="false">
      <c r="A91" s="8" t="s">
        <v>135</v>
      </c>
      <c r="B91" s="8" t="s">
        <v>135</v>
      </c>
      <c r="C91" s="8" t="s">
        <v>135</v>
      </c>
      <c r="D91" s="8" t="s">
        <v>135</v>
      </c>
      <c r="E91" s="8" t="s">
        <v>135</v>
      </c>
      <c r="F91" s="8" t="s">
        <v>135</v>
      </c>
      <c r="G91" s="8" t="s">
        <v>135</v>
      </c>
      <c r="H91" s="8" t="s">
        <v>135</v>
      </c>
      <c r="I91" s="8" t="s">
        <v>135</v>
      </c>
      <c r="J91" s="8" t="s">
        <v>135</v>
      </c>
      <c r="K91" s="8" t="s">
        <v>135</v>
      </c>
      <c r="L91" s="8" t="s">
        <v>135</v>
      </c>
      <c r="M91" s="8" t="s">
        <v>135</v>
      </c>
      <c r="N91" s="8" t="s">
        <v>135</v>
      </c>
      <c r="O91" s="8" t="s">
        <v>135</v>
      </c>
      <c r="P91" s="8" t="s">
        <v>135</v>
      </c>
    </row>
    <row r="92" customFormat="false" ht="16.5" hidden="false" customHeight="true" outlineLevel="0" collapsed="false">
      <c r="A92" s="15" t="s">
        <v>136</v>
      </c>
      <c r="B92" s="15" t="s">
        <v>136</v>
      </c>
      <c r="C92" s="15" t="s">
        <v>137</v>
      </c>
      <c r="D92" s="15" t="s">
        <v>137</v>
      </c>
      <c r="E92" s="15" t="s">
        <v>137</v>
      </c>
      <c r="F92" s="15" t="s">
        <v>137</v>
      </c>
      <c r="G92" s="15" t="s">
        <v>137</v>
      </c>
      <c r="H92" s="15" t="s">
        <v>138</v>
      </c>
      <c r="I92" s="15" t="s">
        <v>138</v>
      </c>
      <c r="J92" s="15" t="s">
        <v>138</v>
      </c>
      <c r="K92" s="15" t="s">
        <v>138</v>
      </c>
      <c r="L92" s="15" t="s">
        <v>139</v>
      </c>
      <c r="M92" s="15" t="s">
        <v>139</v>
      </c>
      <c r="N92" s="15" t="s">
        <v>140</v>
      </c>
      <c r="O92" s="15" t="s">
        <v>140</v>
      </c>
      <c r="P92" s="15" t="s">
        <v>140</v>
      </c>
    </row>
    <row r="93" customFormat="false" ht="16.5" hidden="false" customHeight="true" outlineLevel="0" collapsed="false">
      <c r="A93" s="15" t="s">
        <v>136</v>
      </c>
      <c r="B93" s="15" t="s">
        <v>136</v>
      </c>
      <c r="C93" s="15" t="s">
        <v>137</v>
      </c>
      <c r="D93" s="15" t="s">
        <v>137</v>
      </c>
      <c r="E93" s="15" t="s">
        <v>137</v>
      </c>
      <c r="F93" s="15" t="s">
        <v>137</v>
      </c>
      <c r="G93" s="15" t="s">
        <v>137</v>
      </c>
      <c r="H93" s="15" t="s">
        <v>138</v>
      </c>
      <c r="I93" s="15" t="s">
        <v>138</v>
      </c>
      <c r="J93" s="15" t="s">
        <v>138</v>
      </c>
      <c r="K93" s="15" t="s">
        <v>138</v>
      </c>
      <c r="L93" s="15" t="s">
        <v>139</v>
      </c>
      <c r="M93" s="15" t="s">
        <v>139</v>
      </c>
      <c r="N93" s="15" t="s">
        <v>140</v>
      </c>
      <c r="O93" s="15" t="s">
        <v>140</v>
      </c>
      <c r="P93" s="15" t="s">
        <v>140</v>
      </c>
    </row>
    <row r="94" customFormat="false" ht="16.5" hidden="false" customHeight="true" outlineLevel="0" collapsed="false">
      <c r="A94" s="26" t="s">
        <v>125</v>
      </c>
      <c r="B94" s="26" t="s">
        <v>125</v>
      </c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</row>
    <row r="95" customFormat="false" ht="16.5" hidden="false" customHeight="true" outlineLevel="0" collapsed="false">
      <c r="A95" s="26" t="s">
        <v>126</v>
      </c>
      <c r="B95" s="26" t="s">
        <v>126</v>
      </c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</row>
    <row r="96" customFormat="false" ht="16.5" hidden="false" customHeight="true" outlineLevel="0" collapsed="false">
      <c r="A96" s="26" t="s">
        <v>127</v>
      </c>
      <c r="B96" s="26" t="s">
        <v>127</v>
      </c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</row>
    <row r="97" customFormat="false" ht="16.5" hidden="false" customHeight="true" outlineLevel="0" collapsed="false">
      <c r="A97" s="26" t="s">
        <v>128</v>
      </c>
      <c r="B97" s="26" t="s">
        <v>128</v>
      </c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</row>
    <row r="98" customFormat="false" ht="16.5" hidden="false" customHeight="true" outlineLevel="0" collapsed="false">
      <c r="A98" s="26" t="s">
        <v>129</v>
      </c>
      <c r="B98" s="26" t="s">
        <v>129</v>
      </c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</row>
    <row r="99" customFormat="false" ht="16.5" hidden="false" customHeight="true" outlineLevel="0" collapsed="false">
      <c r="A99" s="26" t="s">
        <v>130</v>
      </c>
      <c r="B99" s="26" t="s">
        <v>130</v>
      </c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</row>
    <row r="100" customFormat="false" ht="16.5" hidden="false" customHeight="true" outlineLevel="0" collapsed="false">
      <c r="A100" s="26" t="s">
        <v>131</v>
      </c>
      <c r="B100" s="26" t="s">
        <v>131</v>
      </c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</row>
    <row r="101" customFormat="false" ht="16.5" hidden="false" customHeight="true" outlineLevel="0" collapsed="false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</row>
    <row r="102" customFormat="false" ht="16.5" hidden="false" customHeight="true" outlineLevel="0" collapsed="false">
      <c r="A102" s="8" t="s">
        <v>141</v>
      </c>
      <c r="B102" s="8" t="s">
        <v>141</v>
      </c>
      <c r="C102" s="8" t="s">
        <v>141</v>
      </c>
      <c r="D102" s="8" t="s">
        <v>141</v>
      </c>
      <c r="E102" s="8" t="s">
        <v>141</v>
      </c>
      <c r="F102" s="8" t="s">
        <v>141</v>
      </c>
      <c r="G102" s="8" t="s">
        <v>141</v>
      </c>
      <c r="H102" s="8" t="s">
        <v>141</v>
      </c>
      <c r="I102" s="8" t="s">
        <v>141</v>
      </c>
      <c r="J102" s="8" t="s">
        <v>141</v>
      </c>
      <c r="K102" s="8" t="s">
        <v>141</v>
      </c>
      <c r="L102" s="8" t="s">
        <v>141</v>
      </c>
      <c r="M102" s="8" t="s">
        <v>141</v>
      </c>
      <c r="N102" s="8" t="s">
        <v>141</v>
      </c>
      <c r="O102" s="8" t="s">
        <v>141</v>
      </c>
      <c r="P102" s="8" t="s">
        <v>141</v>
      </c>
    </row>
    <row r="103" customFormat="false" ht="16.5" hidden="false" customHeight="true" outlineLevel="0" collapsed="false">
      <c r="A103" s="4" t="s">
        <v>142</v>
      </c>
      <c r="B103" s="4" t="s">
        <v>142</v>
      </c>
      <c r="C103" s="27"/>
      <c r="D103" s="27"/>
      <c r="E103" s="27"/>
      <c r="F103" s="27"/>
      <c r="G103" s="27"/>
      <c r="H103" s="27"/>
      <c r="I103" s="4" t="s">
        <v>143</v>
      </c>
      <c r="J103" s="4" t="s">
        <v>143</v>
      </c>
      <c r="K103" s="27"/>
      <c r="L103" s="27"/>
      <c r="M103" s="27"/>
      <c r="N103" s="27"/>
      <c r="O103" s="27"/>
      <c r="P103" s="27"/>
    </row>
    <row r="104" customFormat="false" ht="16.5" hidden="false" customHeight="true" outlineLevel="0" collapsed="false">
      <c r="A104" s="23" t="s">
        <v>144</v>
      </c>
      <c r="B104" s="23" t="s">
        <v>145</v>
      </c>
      <c r="C104" s="23" t="s">
        <v>145</v>
      </c>
      <c r="D104" s="23" t="s">
        <v>145</v>
      </c>
      <c r="E104" s="23" t="s">
        <v>145</v>
      </c>
      <c r="F104" s="23" t="s">
        <v>145</v>
      </c>
      <c r="G104" s="23" t="s">
        <v>145</v>
      </c>
      <c r="H104" s="23" t="s">
        <v>145</v>
      </c>
      <c r="I104" s="23" t="s">
        <v>145</v>
      </c>
      <c r="J104" s="23" t="s">
        <v>145</v>
      </c>
      <c r="K104" s="23" t="s">
        <v>145</v>
      </c>
      <c r="L104" s="23" t="s">
        <v>145</v>
      </c>
      <c r="M104" s="23" t="s">
        <v>145</v>
      </c>
      <c r="N104" s="23" t="s">
        <v>145</v>
      </c>
      <c r="O104" s="23" t="s">
        <v>145</v>
      </c>
      <c r="P104" s="23" t="s">
        <v>145</v>
      </c>
    </row>
    <row r="105" customFormat="false" ht="22.5" hidden="false" customHeight="true" outlineLevel="0" collapsed="false">
      <c r="A105" s="24" t="s">
        <v>146</v>
      </c>
      <c r="B105" s="24" t="s">
        <v>147</v>
      </c>
      <c r="C105" s="24" t="s">
        <v>147</v>
      </c>
      <c r="D105" s="24" t="s">
        <v>147</v>
      </c>
      <c r="E105" s="24" t="s">
        <v>147</v>
      </c>
      <c r="F105" s="24" t="s">
        <v>147</v>
      </c>
      <c r="G105" s="24" t="s">
        <v>147</v>
      </c>
      <c r="H105" s="24" t="s">
        <v>147</v>
      </c>
      <c r="I105" s="25" t="s">
        <v>94</v>
      </c>
      <c r="J105" s="25" t="s">
        <v>94</v>
      </c>
      <c r="K105" s="25" t="s">
        <v>94</v>
      </c>
      <c r="L105" s="25" t="s">
        <v>94</v>
      </c>
      <c r="M105" s="25" t="s">
        <v>94</v>
      </c>
      <c r="N105" s="25" t="s">
        <v>94</v>
      </c>
      <c r="O105" s="25" t="s">
        <v>94</v>
      </c>
      <c r="P105" s="25" t="s">
        <v>94</v>
      </c>
    </row>
    <row r="106" customFormat="false" ht="16.5" hidden="false" customHeight="true" outlineLevel="0" collapsed="false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</row>
  </sheetData>
  <mergeCells count="293">
    <mergeCell ref="A1:P2"/>
    <mergeCell ref="A3:P3"/>
    <mergeCell ref="A4:P4"/>
    <mergeCell ref="A5:B5"/>
    <mergeCell ref="C5:F5"/>
    <mergeCell ref="G5:H5"/>
    <mergeCell ref="I5:L5"/>
    <mergeCell ref="N5:P5"/>
    <mergeCell ref="A6:B6"/>
    <mergeCell ref="C6:H6"/>
    <mergeCell ref="I6:J6"/>
    <mergeCell ref="K6:P6"/>
    <mergeCell ref="A8:P8"/>
    <mergeCell ref="A9:D9"/>
    <mergeCell ref="E9:G9"/>
    <mergeCell ref="I9:L9"/>
    <mergeCell ref="M9:O9"/>
    <mergeCell ref="A10:D10"/>
    <mergeCell ref="E10:G10"/>
    <mergeCell ref="I10:L10"/>
    <mergeCell ref="M10:O10"/>
    <mergeCell ref="A11:D11"/>
    <mergeCell ref="E11:G11"/>
    <mergeCell ref="I11:L11"/>
    <mergeCell ref="M11:O11"/>
    <mergeCell ref="A12:D12"/>
    <mergeCell ref="E12:G12"/>
    <mergeCell ref="I12:L12"/>
    <mergeCell ref="M12:O12"/>
    <mergeCell ref="A13:D13"/>
    <mergeCell ref="E13:G13"/>
    <mergeCell ref="I13:L13"/>
    <mergeCell ref="M13:O13"/>
    <mergeCell ref="A14:D14"/>
    <mergeCell ref="E14:G14"/>
    <mergeCell ref="I14:L14"/>
    <mergeCell ref="M14:O14"/>
    <mergeCell ref="A15:D15"/>
    <mergeCell ref="E15:G15"/>
    <mergeCell ref="I15:L15"/>
    <mergeCell ref="M15:O15"/>
    <mergeCell ref="A16:D16"/>
    <mergeCell ref="E16:G16"/>
    <mergeCell ref="I16:L16"/>
    <mergeCell ref="M16:O16"/>
    <mergeCell ref="A17:D17"/>
    <mergeCell ref="E17:G17"/>
    <mergeCell ref="I17:L17"/>
    <mergeCell ref="M17:O17"/>
    <mergeCell ref="A19:P19"/>
    <mergeCell ref="A20:D20"/>
    <mergeCell ref="E20:G20"/>
    <mergeCell ref="I20:L20"/>
    <mergeCell ref="M20:O20"/>
    <mergeCell ref="A21:D21"/>
    <mergeCell ref="E21:G21"/>
    <mergeCell ref="I21:L21"/>
    <mergeCell ref="M21:O21"/>
    <mergeCell ref="A22:D22"/>
    <mergeCell ref="E22:G22"/>
    <mergeCell ref="I22:L22"/>
    <mergeCell ref="M22:O22"/>
    <mergeCell ref="A23:D23"/>
    <mergeCell ref="E23:G23"/>
    <mergeCell ref="I23:L23"/>
    <mergeCell ref="M23:O23"/>
    <mergeCell ref="A24:D24"/>
    <mergeCell ref="E24:G24"/>
    <mergeCell ref="I24:L24"/>
    <mergeCell ref="M24:O24"/>
    <mergeCell ref="A25:D25"/>
    <mergeCell ref="E25:G25"/>
    <mergeCell ref="I25:L25"/>
    <mergeCell ref="M25:O25"/>
    <mergeCell ref="A26:D26"/>
    <mergeCell ref="E26:G26"/>
    <mergeCell ref="I26:L26"/>
    <mergeCell ref="M26:O26"/>
    <mergeCell ref="A27:D27"/>
    <mergeCell ref="E27:G27"/>
    <mergeCell ref="I27:L27"/>
    <mergeCell ref="M27:O27"/>
    <mergeCell ref="A29:P29"/>
    <mergeCell ref="A30:A31"/>
    <mergeCell ref="B30:C31"/>
    <mergeCell ref="D30:E31"/>
    <mergeCell ref="F30:G31"/>
    <mergeCell ref="H30:I31"/>
    <mergeCell ref="J30:K31"/>
    <mergeCell ref="L30:M31"/>
    <mergeCell ref="N30:O31"/>
    <mergeCell ref="P30:P31"/>
    <mergeCell ref="A40:M40"/>
    <mergeCell ref="N40:O40"/>
    <mergeCell ref="A42:P42"/>
    <mergeCell ref="A43:D43"/>
    <mergeCell ref="E43:G43"/>
    <mergeCell ref="I43:L43"/>
    <mergeCell ref="M43:O43"/>
    <mergeCell ref="A44:D44"/>
    <mergeCell ref="E44:G44"/>
    <mergeCell ref="I44:L44"/>
    <mergeCell ref="M44:O44"/>
    <mergeCell ref="A45:D45"/>
    <mergeCell ref="E45:G45"/>
    <mergeCell ref="I45:L45"/>
    <mergeCell ref="M45:O45"/>
    <mergeCell ref="A46:D46"/>
    <mergeCell ref="E46:G46"/>
    <mergeCell ref="I46:L46"/>
    <mergeCell ref="M46:O46"/>
    <mergeCell ref="A47:D47"/>
    <mergeCell ref="E47:G47"/>
    <mergeCell ref="I47:L47"/>
    <mergeCell ref="M47:O47"/>
    <mergeCell ref="A48:D48"/>
    <mergeCell ref="E48:G48"/>
    <mergeCell ref="I48:L48"/>
    <mergeCell ref="M48:O48"/>
    <mergeCell ref="A50:P51"/>
    <mergeCell ref="A52:H52"/>
    <mergeCell ref="I52:P52"/>
    <mergeCell ref="A56:P57"/>
    <mergeCell ref="A58:P58"/>
    <mergeCell ref="A59:P59"/>
    <mergeCell ref="A61:P61"/>
    <mergeCell ref="A62:D62"/>
    <mergeCell ref="E62:G62"/>
    <mergeCell ref="I62:L62"/>
    <mergeCell ref="M62:O62"/>
    <mergeCell ref="A63:D63"/>
    <mergeCell ref="E63:G63"/>
    <mergeCell ref="I63:L63"/>
    <mergeCell ref="M63:O63"/>
    <mergeCell ref="A64:D64"/>
    <mergeCell ref="E64:G64"/>
    <mergeCell ref="I64:L64"/>
    <mergeCell ref="M64:O64"/>
    <mergeCell ref="A65:D65"/>
    <mergeCell ref="E65:G65"/>
    <mergeCell ref="I65:L65"/>
    <mergeCell ref="M65:O65"/>
    <mergeCell ref="A66:D66"/>
    <mergeCell ref="E66:G66"/>
    <mergeCell ref="I66:L66"/>
    <mergeCell ref="M66:O66"/>
    <mergeCell ref="A67:D67"/>
    <mergeCell ref="E67:G67"/>
    <mergeCell ref="I67:L67"/>
    <mergeCell ref="M67:O67"/>
    <mergeCell ref="A69:P69"/>
    <mergeCell ref="A70:D70"/>
    <mergeCell ref="E70:G70"/>
    <mergeCell ref="I70:L70"/>
    <mergeCell ref="M70:O70"/>
    <mergeCell ref="A71:D71"/>
    <mergeCell ref="E71:G71"/>
    <mergeCell ref="I71:L71"/>
    <mergeCell ref="M71:O71"/>
    <mergeCell ref="A72:D72"/>
    <mergeCell ref="E72:G72"/>
    <mergeCell ref="I72:L72"/>
    <mergeCell ref="M72:O72"/>
    <mergeCell ref="A73:D73"/>
    <mergeCell ref="E73:G73"/>
    <mergeCell ref="I73:L73"/>
    <mergeCell ref="M73:O73"/>
    <mergeCell ref="A74:D74"/>
    <mergeCell ref="E74:G74"/>
    <mergeCell ref="I74:L74"/>
    <mergeCell ref="M74:O74"/>
    <mergeCell ref="A76:P76"/>
    <mergeCell ref="A77:B78"/>
    <mergeCell ref="C77:D78"/>
    <mergeCell ref="E77:G78"/>
    <mergeCell ref="H77:J78"/>
    <mergeCell ref="K77:M78"/>
    <mergeCell ref="N77:P78"/>
    <mergeCell ref="A79:B79"/>
    <mergeCell ref="C79:D79"/>
    <mergeCell ref="E79:G79"/>
    <mergeCell ref="H79:J79"/>
    <mergeCell ref="K79:M79"/>
    <mergeCell ref="N79:P79"/>
    <mergeCell ref="A80:B80"/>
    <mergeCell ref="C80:D80"/>
    <mergeCell ref="E80:G80"/>
    <mergeCell ref="H80:J80"/>
    <mergeCell ref="K80:M80"/>
    <mergeCell ref="N80:P80"/>
    <mergeCell ref="A81:B81"/>
    <mergeCell ref="C81:D81"/>
    <mergeCell ref="E81:G81"/>
    <mergeCell ref="H81:J81"/>
    <mergeCell ref="K81:M81"/>
    <mergeCell ref="N81:P81"/>
    <mergeCell ref="A82:B82"/>
    <mergeCell ref="C82:D82"/>
    <mergeCell ref="E82:G82"/>
    <mergeCell ref="H82:J82"/>
    <mergeCell ref="K82:M82"/>
    <mergeCell ref="N82:P82"/>
    <mergeCell ref="A83:B83"/>
    <mergeCell ref="C83:D83"/>
    <mergeCell ref="E83:G83"/>
    <mergeCell ref="H83:J83"/>
    <mergeCell ref="K83:M83"/>
    <mergeCell ref="N83:P83"/>
    <mergeCell ref="A84:B84"/>
    <mergeCell ref="C84:D84"/>
    <mergeCell ref="E84:G84"/>
    <mergeCell ref="H84:J84"/>
    <mergeCell ref="K84:M84"/>
    <mergeCell ref="N84:P84"/>
    <mergeCell ref="A85:B85"/>
    <mergeCell ref="C85:D85"/>
    <mergeCell ref="E85:G85"/>
    <mergeCell ref="H85:J85"/>
    <mergeCell ref="K85:M85"/>
    <mergeCell ref="N85:P85"/>
    <mergeCell ref="A86:B86"/>
    <mergeCell ref="C86:D86"/>
    <mergeCell ref="E86:G86"/>
    <mergeCell ref="H86:J86"/>
    <mergeCell ref="K86:M86"/>
    <mergeCell ref="N86:P86"/>
    <mergeCell ref="A87:B87"/>
    <mergeCell ref="C87:D87"/>
    <mergeCell ref="E87:G87"/>
    <mergeCell ref="H87:J87"/>
    <mergeCell ref="K87:M87"/>
    <mergeCell ref="N87:P87"/>
    <mergeCell ref="A88:B88"/>
    <mergeCell ref="C88:D88"/>
    <mergeCell ref="E88:G88"/>
    <mergeCell ref="H88:J88"/>
    <mergeCell ref="K88:M88"/>
    <mergeCell ref="N88:P88"/>
    <mergeCell ref="A89:B89"/>
    <mergeCell ref="C89:D89"/>
    <mergeCell ref="E89:G89"/>
    <mergeCell ref="H89:J89"/>
    <mergeCell ref="K89:M89"/>
    <mergeCell ref="N89:P89"/>
    <mergeCell ref="A91:P91"/>
    <mergeCell ref="A92:B93"/>
    <mergeCell ref="C92:G93"/>
    <mergeCell ref="H92:K93"/>
    <mergeCell ref="L92:M93"/>
    <mergeCell ref="N92:P93"/>
    <mergeCell ref="A94:B94"/>
    <mergeCell ref="C94:G94"/>
    <mergeCell ref="H94:K94"/>
    <mergeCell ref="L94:M94"/>
    <mergeCell ref="N94:P94"/>
    <mergeCell ref="A95:B95"/>
    <mergeCell ref="C95:G95"/>
    <mergeCell ref="H95:K95"/>
    <mergeCell ref="L95:M95"/>
    <mergeCell ref="N95:P95"/>
    <mergeCell ref="A96:B96"/>
    <mergeCell ref="C96:G96"/>
    <mergeCell ref="H96:K96"/>
    <mergeCell ref="L96:M96"/>
    <mergeCell ref="N96:P96"/>
    <mergeCell ref="A97:B97"/>
    <mergeCell ref="C97:G97"/>
    <mergeCell ref="H97:K97"/>
    <mergeCell ref="L97:M97"/>
    <mergeCell ref="N97:P97"/>
    <mergeCell ref="A98:B98"/>
    <mergeCell ref="C98:G98"/>
    <mergeCell ref="H98:K98"/>
    <mergeCell ref="L98:M98"/>
    <mergeCell ref="N98:P98"/>
    <mergeCell ref="A99:B99"/>
    <mergeCell ref="C99:G99"/>
    <mergeCell ref="H99:K99"/>
    <mergeCell ref="L99:M99"/>
    <mergeCell ref="N99:P99"/>
    <mergeCell ref="A100:B100"/>
    <mergeCell ref="C100:G100"/>
    <mergeCell ref="H100:K100"/>
    <mergeCell ref="L100:M100"/>
    <mergeCell ref="N100:P100"/>
    <mergeCell ref="A102:P102"/>
    <mergeCell ref="A103:B103"/>
    <mergeCell ref="C103:H103"/>
    <mergeCell ref="I103:J103"/>
    <mergeCell ref="K103:P103"/>
    <mergeCell ref="A104:P104"/>
    <mergeCell ref="A105:H105"/>
    <mergeCell ref="I105:P105"/>
  </mergeCells>
  <conditionalFormatting sqref="E11">
    <cfRule type="cellIs" priority="2" operator="greaterThan" aboveAverage="0" equalAverage="0" bottom="0" percent="0" rank="0" text="" dxfId="0">
      <formula>M13</formula>
    </cfRule>
  </conditionalFormatting>
  <conditionalFormatting sqref="E72">
    <cfRule type="cellIs" priority="3" operator="greaterThan" aboveAverage="0" equalAverage="0" bottom="0" percent="0" rank="0" text="" dxfId="1">
      <formula>M24</formula>
    </cfRule>
  </conditionalFormatting>
  <conditionalFormatting sqref="E73">
    <cfRule type="cellIs" priority="4" operator="greaterThan" aboveAverage="0" equalAverage="0" bottom="0" percent="0" rank="0" text="" dxfId="2">
      <formula>E72</formula>
    </cfRule>
  </conditionalFormatting>
  <dataValidations count="60">
    <dataValidation allowBlank="false" errorStyle="stop" operator="between" showDropDown="false" showErrorMessage="false" showInputMessage="false" sqref="E10" type="decimal">
      <formula1>0</formula1>
      <formula2>20000</formula2>
    </dataValidation>
    <dataValidation allowBlank="false" errorStyle="stop" operator="between" showDropDown="false" showErrorMessage="false" showInputMessage="false" sqref="M10" type="decimal">
      <formula1>0</formula1>
      <formula2>20000</formula2>
    </dataValidation>
    <dataValidation allowBlank="false" errorStyle="stop" operator="between" showDropDown="false" showErrorMessage="false" showInputMessage="false" sqref="E11" type="decimal">
      <formula1>0</formula1>
      <formula2>20000</formula2>
    </dataValidation>
    <dataValidation allowBlank="false" errorStyle="stop" operator="between" showDropDown="false" showErrorMessage="false" showInputMessage="false" sqref="M11" type="decimal">
      <formula1>0</formula1>
      <formula2>20000</formula2>
    </dataValidation>
    <dataValidation allowBlank="false" errorStyle="stop" operator="between" showDropDown="false" showErrorMessage="false" showInputMessage="false" sqref="M12" type="decimal">
      <formula1>0</formula1>
      <formula2>20000</formula2>
    </dataValidation>
    <dataValidation allowBlank="false" errorStyle="stop" operator="between" showDropDown="false" showErrorMessage="false" showInputMessage="false" sqref="M13" type="decimal">
      <formula1>0</formula1>
      <formula2>20000</formula2>
    </dataValidation>
    <dataValidation allowBlank="false" errorStyle="stop" operator="between" showDropDown="false" showErrorMessage="false" showInputMessage="false" sqref="B32" type="decimal">
      <formula1>0</formula1>
      <formula2>20000</formula2>
    </dataValidation>
    <dataValidation allowBlank="false" errorStyle="stop" operator="between" showDropDown="false" showErrorMessage="false" showInputMessage="false" sqref="B33" type="decimal">
      <formula1>0</formula1>
      <formula2>20000</formula2>
    </dataValidation>
    <dataValidation allowBlank="false" errorStyle="stop" operator="between" showDropDown="false" showErrorMessage="false" showInputMessage="false" sqref="B34" type="decimal">
      <formula1>0</formula1>
      <formula2>20000</formula2>
    </dataValidation>
    <dataValidation allowBlank="false" errorStyle="stop" operator="between" showDropDown="false" showErrorMessage="false" showInputMessage="false" sqref="B35" type="decimal">
      <formula1>0</formula1>
      <formula2>20000</formula2>
    </dataValidation>
    <dataValidation allowBlank="false" errorStyle="stop" operator="between" showDropDown="false" showErrorMessage="false" showInputMessage="false" sqref="B36" type="decimal">
      <formula1>0</formula1>
      <formula2>20000</formula2>
    </dataValidation>
    <dataValidation allowBlank="false" errorStyle="stop" operator="between" showDropDown="false" showErrorMessage="false" showInputMessage="false" sqref="B37" type="decimal">
      <formula1>0</formula1>
      <formula2>20000</formula2>
    </dataValidation>
    <dataValidation allowBlank="false" errorStyle="stop" operator="between" showDropDown="false" showErrorMessage="false" showInputMessage="false" sqref="B38" type="decimal">
      <formula1>0</formula1>
      <formula2>20000</formula2>
    </dataValidation>
    <dataValidation allowBlank="false" errorStyle="stop" operator="between" showDropDown="false" showErrorMessage="false" showInputMessage="false" sqref="B39" type="decimal">
      <formula1>0</formula1>
      <formula2>20000</formula2>
    </dataValidation>
    <dataValidation allowBlank="false" errorStyle="stop" operator="between" showDropDown="false" showErrorMessage="false" showInputMessage="false" sqref="D32" type="decimal">
      <formula1>0</formula1>
      <formula2>20000</formula2>
    </dataValidation>
    <dataValidation allowBlank="false" errorStyle="stop" operator="between" showDropDown="false" showErrorMessage="false" showInputMessage="false" sqref="D33" type="decimal">
      <formula1>0</formula1>
      <formula2>20000</formula2>
    </dataValidation>
    <dataValidation allowBlank="false" errorStyle="stop" operator="between" showDropDown="false" showErrorMessage="false" showInputMessage="false" sqref="D34" type="decimal">
      <formula1>0</formula1>
      <formula2>20000</formula2>
    </dataValidation>
    <dataValidation allowBlank="false" errorStyle="stop" operator="between" showDropDown="false" showErrorMessage="false" showInputMessage="false" sqref="D35" type="decimal">
      <formula1>0</formula1>
      <formula2>20000</formula2>
    </dataValidation>
    <dataValidation allowBlank="false" errorStyle="stop" operator="between" showDropDown="false" showErrorMessage="false" showInputMessage="false" sqref="D36" type="decimal">
      <formula1>0</formula1>
      <formula2>20000</formula2>
    </dataValidation>
    <dataValidation allowBlank="false" errorStyle="stop" operator="between" showDropDown="false" showErrorMessage="false" showInputMessage="false" sqref="D37" type="decimal">
      <formula1>0</formula1>
      <formula2>20000</formula2>
    </dataValidation>
    <dataValidation allowBlank="false" errorStyle="stop" operator="between" showDropDown="false" showErrorMessage="false" showInputMessage="false" sqref="D38" type="decimal">
      <formula1>0</formula1>
      <formula2>20000</formula2>
    </dataValidation>
    <dataValidation allowBlank="false" errorStyle="stop" operator="between" showDropDown="false" showErrorMessage="false" showInputMessage="false" sqref="D39" type="decimal">
      <formula1>0</formula1>
      <formula2>20000</formula2>
    </dataValidation>
    <dataValidation allowBlank="false" errorStyle="stop" operator="between" showDropDown="false" showErrorMessage="false" showInputMessage="false" sqref="E12" type="decimal">
      <formula1>0.5</formula1>
      <formula2>3.5</formula2>
    </dataValidation>
    <dataValidation allowBlank="false" errorStyle="stop" operator="between" showDropDown="false" showErrorMessage="false" showInputMessage="false" sqref="M15" type="decimal">
      <formula1>0.5</formula1>
      <formula2>3.5</formula2>
    </dataValidation>
    <dataValidation allowBlank="false" errorStyle="stop" operator="between" showDropDown="false" showErrorMessage="false" showInputMessage="false" sqref="M26" type="decimal">
      <formula1>0.5</formula1>
      <formula2>3.5</formula2>
    </dataValidation>
    <dataValidation allowBlank="false" errorStyle="stop" operator="between" showDropDown="false" showErrorMessage="false" showInputMessage="false" sqref="E13" type="decimal">
      <formula1>0</formula1>
      <formula2>2000</formula2>
    </dataValidation>
    <dataValidation allowBlank="false" errorStyle="stop" operator="between" showDropDown="false" showErrorMessage="false" showInputMessage="false" sqref="E24" type="decimal">
      <formula1>0</formula1>
      <formula2>2000</formula2>
    </dataValidation>
    <dataValidation allowBlank="false" errorStyle="stop" operator="between" showDropDown="false" showErrorMessage="false" showInputMessage="false" sqref="M24" type="decimal">
      <formula1>0</formula1>
      <formula2>2000</formula2>
    </dataValidation>
    <dataValidation allowBlank="false" errorStyle="stop" operator="between" showDropDown="false" showErrorMessage="false" showInputMessage="false" sqref="E26" type="decimal">
      <formula1>0</formula1>
      <formula2>2000</formula2>
    </dataValidation>
    <dataValidation allowBlank="false" errorStyle="stop" operator="between" showDropDown="false" showErrorMessage="false" showInputMessage="false" sqref="M25" type="decimal">
      <formula1>0</formula1>
      <formula2>2000</formula2>
    </dataValidation>
    <dataValidation allowBlank="false" errorStyle="stop" operator="between" showDropDown="false" showErrorMessage="false" showInputMessage="false" sqref="E63" type="decimal">
      <formula1>0</formula1>
      <formula2>2000</formula2>
    </dataValidation>
    <dataValidation allowBlank="false" errorStyle="stop" operator="between" showDropDown="false" showErrorMessage="false" showInputMessage="false" sqref="E64" type="decimal">
      <formula1>0</formula1>
      <formula2>2000</formula2>
    </dataValidation>
    <dataValidation allowBlank="false" errorStyle="stop" operator="between" showDropDown="false" showErrorMessage="false" showInputMessage="false" sqref="E22" type="decimal">
      <formula1>0.01</formula1>
      <formula2>100</formula2>
    </dataValidation>
    <dataValidation allowBlank="false" errorStyle="stop" operator="between" showDropDown="false" showErrorMessage="false" showInputMessage="false" sqref="E23" type="decimal">
      <formula1>0.1</formula1>
      <formula2>300</formula2>
    </dataValidation>
    <dataValidation allowBlank="false" errorStyle="stop" operator="between" showDropDown="false" showErrorMessage="false" showInputMessage="false" sqref="E25" type="decimal">
      <formula1>0.1</formula1>
      <formula2>300</formula2>
    </dataValidation>
    <dataValidation allowBlank="false" errorStyle="stop" operator="between" showDropDown="false" showErrorMessage="false" showInputMessage="false" sqref="M14" type="decimal">
      <formula1>0.1</formula1>
      <formula2>2000</formula2>
    </dataValidation>
    <dataValidation allowBlank="false" errorStyle="stop" operator="between" showDropDown="false" showErrorMessage="false" showInputMessage="false" sqref="H32" type="decimal">
      <formula1>0.1</formula1>
      <formula2>2000</formula2>
    </dataValidation>
    <dataValidation allowBlank="false" errorStyle="stop" operator="between" showDropDown="false" showErrorMessage="false" showInputMessage="false" sqref="H33" type="decimal">
      <formula1>0.1</formula1>
      <formula2>2000</formula2>
    </dataValidation>
    <dataValidation allowBlank="false" errorStyle="stop" operator="between" showDropDown="false" showErrorMessage="false" showInputMessage="false" sqref="H34" type="decimal">
      <formula1>0.1</formula1>
      <formula2>2000</formula2>
    </dataValidation>
    <dataValidation allowBlank="false" errorStyle="stop" operator="between" showDropDown="false" showErrorMessage="false" showInputMessage="false" sqref="H35" type="decimal">
      <formula1>0.1</formula1>
      <formula2>2000</formula2>
    </dataValidation>
    <dataValidation allowBlank="false" errorStyle="stop" operator="between" showDropDown="false" showErrorMessage="false" showInputMessage="false" sqref="H36" type="decimal">
      <formula1>0.1</formula1>
      <formula2>2000</formula2>
    </dataValidation>
    <dataValidation allowBlank="false" errorStyle="stop" operator="between" showDropDown="false" showErrorMessage="false" showInputMessage="false" sqref="H37" type="decimal">
      <formula1>0.1</formula1>
      <formula2>2000</formula2>
    </dataValidation>
    <dataValidation allowBlank="false" errorStyle="stop" operator="between" showDropDown="false" showErrorMessage="false" showInputMessage="false" sqref="H38" type="decimal">
      <formula1>0.1</formula1>
      <formula2>2000</formula2>
    </dataValidation>
    <dataValidation allowBlank="false" errorStyle="stop" operator="between" showDropDown="false" showErrorMessage="false" showInputMessage="false" sqref="H39" type="decimal">
      <formula1>0.1</formula1>
      <formula2>2000</formula2>
    </dataValidation>
    <dataValidation allowBlank="false" errorStyle="stop" operator="between" showDropDown="false" showErrorMessage="false" showInputMessage="false" sqref="J32" type="decimal">
      <formula1>0.1</formula1>
      <formula2>2000</formula2>
    </dataValidation>
    <dataValidation allowBlank="false" errorStyle="stop" operator="between" showDropDown="false" showErrorMessage="false" showInputMessage="false" sqref="J33" type="decimal">
      <formula1>0.1</formula1>
      <formula2>2000</formula2>
    </dataValidation>
    <dataValidation allowBlank="false" errorStyle="stop" operator="between" showDropDown="false" showErrorMessage="false" showInputMessage="false" sqref="J34" type="decimal">
      <formula1>0.1</formula1>
      <formula2>2000</formula2>
    </dataValidation>
    <dataValidation allowBlank="false" errorStyle="stop" operator="between" showDropDown="false" showErrorMessage="false" showInputMessage="false" sqref="J35" type="decimal">
      <formula1>0.1</formula1>
      <formula2>2000</formula2>
    </dataValidation>
    <dataValidation allowBlank="false" errorStyle="stop" operator="between" showDropDown="false" showErrorMessage="false" showInputMessage="false" sqref="J36" type="decimal">
      <formula1>0.1</formula1>
      <formula2>2000</formula2>
    </dataValidation>
    <dataValidation allowBlank="false" errorStyle="stop" operator="between" showDropDown="false" showErrorMessage="false" showInputMessage="false" sqref="J37" type="decimal">
      <formula1>0.1</formula1>
      <formula2>2000</formula2>
    </dataValidation>
    <dataValidation allowBlank="false" errorStyle="stop" operator="between" showDropDown="false" showErrorMessage="false" showInputMessage="false" sqref="J38" type="decimal">
      <formula1>0.1</formula1>
      <formula2>2000</formula2>
    </dataValidation>
    <dataValidation allowBlank="false" errorStyle="stop" operator="between" showDropDown="false" showErrorMessage="false" showInputMessage="false" sqref="J39" type="decimal">
      <formula1>0.1</formula1>
      <formula2>2000</formula2>
    </dataValidation>
    <dataValidation allowBlank="false" errorStyle="stop" operator="between" showDropDown="false" showErrorMessage="false" showInputMessage="false" sqref="M21" type="decimal">
      <formula1>0</formula1>
      <formula2>10000000</formula2>
    </dataValidation>
    <dataValidation allowBlank="false" errorStyle="stop" operator="between" showDropDown="false" showErrorMessage="false" showInputMessage="false" sqref="M22" type="decimal">
      <formula1>0</formula1>
      <formula2>10000000</formula2>
    </dataValidation>
    <dataValidation allowBlank="false" errorStyle="stop" operator="between" showDropDown="false" showErrorMessage="false" showInputMessage="false" sqref="M23" type="decimal">
      <formula1>0</formula1>
      <formula2>10000000</formula2>
    </dataValidation>
    <dataValidation allowBlank="false" errorStyle="stop" operator="between" showDropDown="false" showErrorMessage="false" showInputMessage="false" sqref="E27" type="decimal">
      <formula1>0</formula1>
      <formula2>10000000</formula2>
    </dataValidation>
    <dataValidation allowBlank="false" errorStyle="stop" operator="between" showDropDown="false" showErrorMessage="false" showInputMessage="false" sqref="E47" type="decimal">
      <formula1>0</formula1>
      <formula2>10000000</formula2>
    </dataValidation>
    <dataValidation allowBlank="false" errorStyle="stop" operator="between" showDropDown="false" showErrorMessage="false" showInputMessage="false" sqref="E65" type="decimal">
      <formula1>0</formula1>
      <formula2>10000000</formula2>
    </dataValidation>
    <dataValidation allowBlank="false" errorStyle="stop" operator="between" showDropDown="false" showErrorMessage="false" showInputMessage="false" sqref="E66" type="decimal">
      <formula1>0</formula1>
      <formula2>1440</formula2>
    </dataValidation>
    <dataValidation allowBlank="false" errorStyle="stop" operator="between" showDropDown="false" showErrorMessage="false" showInputMessage="false" sqref="M65" type="list">
      <formula1>"Газ,Нефть,Вода,Смешанный,Не определён"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LibreOfficeDev/26.8.0.0.alpha0$Linux_X86_64 LibreOffice_project/2c87e51eeaa2b413ff4ae097b2705eea1995d8e5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